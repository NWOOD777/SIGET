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Product_Backlog_tareas" sheetId="1" state="visible" r:id="rId1"/>
    <sheet name="Resumen Sprint 6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<sst xmlns="http://schemas.openxmlformats.org/spreadsheetml/2006/main" count="143" uniqueCount="143">
  <si>
    <t xml:space="preserve">Actividades del Sprint 6</t>
  </si>
  <si>
    <t xml:space="preserve">Sprint 6 del 19 al 26 de octubre de 2026</t>
  </si>
  <si>
    <t xml:space="preserve">Horas estimadas de dedicación. Verificación de cierre y registros completados el 26/10/2026.</t>
  </si>
  <si>
    <t xml:space="preserve">Total de horas estimadas del sprint</t>
  </si>
  <si>
    <t xml:space="preserve">Historia o actividad</t>
  </si>
  <si>
    <t xml:space="preserve">Id tarea</t>
  </si>
  <si>
    <t xml:space="preserve">Tareas o actividades</t>
  </si>
  <si>
    <t xml:space="preserve">Horas estimadas</t>
  </si>
  <si>
    <t>Responsable</t>
  </si>
  <si>
    <t xml:space="preserve">Fecha de entrega</t>
  </si>
  <si>
    <t>Estado</t>
  </si>
  <si>
    <t xml:space="preserve">Escritorio PySide6</t>
  </si>
  <si>
    <t>T-01</t>
  </si>
  <si>
    <t xml:space="preserve">Integrar el inicio de sesión y el acceso a las APIs desde el escritorio.</t>
  </si>
  <si>
    <t xml:space="preserve">Ignacio Troncoso</t>
  </si>
  <si>
    <t>Completada</t>
  </si>
  <si>
    <t>T-02</t>
  </si>
  <si>
    <t xml:space="preserve">Preparar la navegación por perfil y las consultas de activos, usuarios y asignaciones.</t>
  </si>
  <si>
    <t>T-03</t>
  </si>
  <si>
    <t xml:space="preserve">Conectar los formularios de solicitudes, entregas y devoluciones con el backend.</t>
  </si>
  <si>
    <t>T-04</t>
  </si>
  <si>
    <t xml:space="preserve">Conservar la sesión, controlar errores de conexión y verificar las operaciones.</t>
  </si>
  <si>
    <t xml:space="preserve">Portal Mis equipos</t>
  </si>
  <si>
    <t xml:space="preserve">Mostrar los equipos y las asignaciones del usuario conectado.</t>
  </si>
  <si>
    <t xml:space="preserve">Probar el detalle de equipo, los registros vacíos y el acceso a datos propios.</t>
  </si>
  <si>
    <t xml:space="preserve">Portal Mi perfil</t>
  </si>
  <si>
    <t xml:space="preserve">Mostrar los datos de la cuenta y los accesos del perfil en el portal.</t>
  </si>
  <si>
    <t xml:space="preserve">Validar la consulta del perfil y su navegación desde las demás vistas.</t>
  </si>
  <si>
    <t xml:space="preserve">API soporte y taller</t>
  </si>
  <si>
    <t xml:space="preserve">Revisar los contratos de tickets y órdenes de trabajo para su consumo desde PySide6.</t>
  </si>
  <si>
    <t xml:space="preserve">Joaquín Riquelme</t>
  </si>
  <si>
    <t xml:space="preserve">Validar campos y estados en las operaciones de diagnóstico, pausa y reasignación.</t>
  </si>
  <si>
    <t xml:space="preserve">Evitar órdenes simultáneas del mismo activo y corregir operaciones concurrentes.</t>
  </si>
  <si>
    <t xml:space="preserve">Comprobar la fase de reanudación y la relación entre la OT, el ticket y el activo.</t>
  </si>
  <si>
    <t>T-05</t>
  </si>
  <si>
    <t xml:space="preserve">Completar las pruebas de integración y actualizar los contratos de la API.</t>
  </si>
  <si>
    <t>E4-H12</t>
  </si>
  <si>
    <t xml:space="preserve">Consultar los movimientos de asignación, devolución y estado de un equipo.</t>
  </si>
  <si>
    <t xml:space="preserve">Diego Alcaíno</t>
  </si>
  <si>
    <t xml:space="preserve">Integrar la búsqueda por código de inventario, serie e identificador.</t>
  </si>
  <si>
    <t xml:space="preserve">Preparar la vista de historial en el escritorio y revisar los resultados vacíos.</t>
  </si>
  <si>
    <t>E5-H14</t>
  </si>
  <si>
    <t xml:space="preserve">Implementar asignación administrativa y toma de tickets por el técnico.</t>
  </si>
  <si>
    <t xml:space="preserve">Registrar atenciones y cambios de estado con responsable y fecha.</t>
  </si>
  <si>
    <t xml:space="preserve">Aplicar permisos, auditoría y avisos en las operaciones de soporte.</t>
  </si>
  <si>
    <t xml:space="preserve">Probar tickets cerrados, responsables y solicitudes simultáneas.</t>
  </si>
  <si>
    <t>E5-H15</t>
  </si>
  <si>
    <t xml:space="preserve">Mostrar los tickets y su estado en el portal del solicitante.</t>
  </si>
  <si>
    <t xml:space="preserve">Incorporar búsqueda por código y navegación al detalle del ticket.</t>
  </si>
  <si>
    <t xml:space="preserve">Verificar consultas propias, registros vacíos e integración de la plantilla.</t>
  </si>
  <si>
    <t>E6-H16</t>
  </si>
  <si>
    <t xml:space="preserve">Registrar el diagnóstico y abrir una orden asociada al ticket y al activo.</t>
  </si>
  <si>
    <t xml:space="preserve">Crear el formulario y la consulta de órdenes de trabajo en el escritorio.</t>
  </si>
  <si>
    <t xml:space="preserve">Validar datos obligatorios y el inicio de reparación del equipo.</t>
  </si>
  <si>
    <t>E10-H23</t>
  </si>
  <si>
    <t xml:space="preserve">Configurar Resend e implementar el servicio central de correo.</t>
  </si>
  <si>
    <t xml:space="preserve">Guardar los avisos y enviar notificaciones de solicitudes y tickets.</t>
  </si>
  <si>
    <t xml:space="preserve">Verificar recordatorios, reintentos y fallos del servicio de correo.</t>
  </si>
  <si>
    <t xml:space="preserve">Actualizar la configuración y la documentación de la integración.</t>
  </si>
  <si>
    <t xml:space="preserve">Despachar los correos al confirmar la operación sin retrasar la respuesta.</t>
  </si>
  <si>
    <t xml:space="preserve">Vistas de detalle</t>
  </si>
  <si>
    <t xml:space="preserve">Crear las vistas de consulta de solicitudes y tickets del portal.</t>
  </si>
  <si>
    <t xml:space="preserve">Corregir sus enlaces y separar la consulta de la confirmación de registro.</t>
  </si>
  <si>
    <t xml:space="preserve">Probar permisos y acceso a registros ajenos desde las vistas de detalle.</t>
  </si>
  <si>
    <t>E6-H24</t>
  </si>
  <si>
    <t xml:space="preserve">Pausar órdenes con justificación y registrar su estado.</t>
  </si>
  <si>
    <t xml:space="preserve">Reanudar órdenes pausadas y comprobar las validaciones del formulario.</t>
  </si>
  <si>
    <t xml:space="preserve">Reasignar órdenes a otro técnico con observaciones y aviso.</t>
  </si>
  <si>
    <t xml:space="preserve">Mostrar las pausas, reanudaciones y reasignaciones en el historial de la OT.</t>
  </si>
  <si>
    <t>E9-H22</t>
  </si>
  <si>
    <t xml:space="preserve">Exponer la consulta de auditoría con filtros de usuario, activo y operación.</t>
  </si>
  <si>
    <t xml:space="preserve">Crear la vista de auditoría y sus selectores en el escritorio.</t>
  </si>
  <si>
    <t xml:space="preserve">Validar permisos de lectura y relaciones de los eventos registrados.</t>
  </si>
  <si>
    <t xml:space="preserve">Preparar los lanzadores del escritorio para Linux y Windows.</t>
  </si>
  <si>
    <t>E5-H30</t>
  </si>
  <si>
    <t xml:space="preserve">Guardar la evaluación del ticket cerrado y calcular los indicadores del técnico.</t>
  </si>
  <si>
    <t xml:space="preserve">Integrar la calificación y su consulta en el portal del solicitante.</t>
  </si>
  <si>
    <t xml:space="preserve">Probar rangos, permisos y prevención de evaluaciones duplicadas.</t>
  </si>
  <si>
    <t>E10-H29</t>
  </si>
  <si>
    <t xml:space="preserve">Crear la bandeja de avisos y el contador de notificaciones del portal.</t>
  </si>
  <si>
    <t xml:space="preserve">Marcar avisos como leídos y enlazar las solicitudes o tickets relacionados.</t>
  </si>
  <si>
    <t xml:space="preserve">Probar mensajes vacíos, acceso propio y actualización del contador.</t>
  </si>
  <si>
    <t xml:space="preserve">Catálogos de activos</t>
  </si>
  <si>
    <t xml:space="preserve">Exponer el registro y la edición de categorías, marcas, modelos y ubicaciones.</t>
  </si>
  <si>
    <t xml:space="preserve">Preparar los mantenedores y actualizar los selectores del escritorio.</t>
  </si>
  <si>
    <t xml:space="preserve">Validar duplicados, relaciones y eliminación de catálogos sin referencias.</t>
  </si>
  <si>
    <t xml:space="preserve">Revisar el SQL inicial y las pruebas con catálogos vacíos.</t>
  </si>
  <si>
    <t xml:space="preserve">Verificación Sprint 6</t>
  </si>
  <si>
    <t xml:space="preserve">Revisar pruebas y documentación de las operaciones integradas.</t>
  </si>
  <si>
    <t xml:space="preserve">Validar números de serie, montos y confirmación de operaciones.</t>
  </si>
  <si>
    <t xml:space="preserve">Ajustar la administración de cuentas y la consulta del RUT en sus vistas.</t>
  </si>
  <si>
    <t xml:space="preserve">Mostrar las acciones permitidas por perfil y completar la atención desde el escritorio.</t>
  </si>
  <si>
    <t xml:space="preserve">Verificar la consulta del historial de órdenes de trabajo.</t>
  </si>
  <si>
    <t>T-06</t>
  </si>
  <si>
    <t xml:space="preserve">Ejecutar la revisión final del incremento del Sprint 6 en backend y escritorio.</t>
  </si>
  <si>
    <t>T-07</t>
  </si>
  <si>
    <t xml:space="preserve">Preparar los registros de seguimiento, actividades y retrospectiva del sprint.</t>
  </si>
  <si>
    <t>Retrospectiva</t>
  </si>
  <si>
    <t xml:space="preserve">Participar en la reunión retrospectiva de 20:30 a 21:30.</t>
  </si>
  <si>
    <t>Realizada</t>
  </si>
  <si>
    <t xml:space="preserve">Tarjeta o actividad</t>
  </si>
  <si>
    <t>Trello</t>
  </si>
  <si>
    <t xml:space="preserve">Preparar aplicación de Escritorio PySide6</t>
  </si>
  <si>
    <t>https://trello.com/c/XGqaBPLX</t>
  </si>
  <si>
    <t xml:space="preserve">Implementar Mis equipos — Portal Web del Usuario solicitante</t>
  </si>
  <si>
    <t>https://trello.com/c/rLx10XKw</t>
  </si>
  <si>
    <t xml:space="preserve">Implementar Mi perfil — Portal Web del Usuario solicitante</t>
  </si>
  <si>
    <t>https://trello.com/c/lbxBSOC9</t>
  </si>
  <si>
    <t xml:space="preserve">Consolidar API Service Desk y Taller/Reparaciones</t>
  </si>
  <si>
    <t>https://trello.com/c/w8t5ic4c</t>
  </si>
  <si>
    <t xml:space="preserve">E4-H12 — Historial y trazabilidad del equipo</t>
  </si>
  <si>
    <t>https://trello.com/c/Qy9hMgUn</t>
  </si>
  <si>
    <t xml:space="preserve">E5-H14 — Gestionar tickets de soporte</t>
  </si>
  <si>
    <t>https://trello.com/c/EGNupfqe</t>
  </si>
  <si>
    <t xml:space="preserve">E5-H15 — Seguimiento de tickets</t>
  </si>
  <si>
    <t>https://trello.com/c/erJ0xxRz</t>
  </si>
  <si>
    <t xml:space="preserve">E6-H16 — Registro de diagnósticos y OT</t>
  </si>
  <si>
    <t>https://trello.com/c/g6XLyUJI</t>
  </si>
  <si>
    <t xml:space="preserve">E10-H23 — Notificaciones por correo</t>
  </si>
  <si>
    <t>https://trello.com/c/ZIszWktf</t>
  </si>
  <si>
    <t xml:space="preserve">Implementar vistas de detalle de solicitudes y tickets — Portal Web</t>
  </si>
  <si>
    <t>https://trello.com/c/unmX7kUb</t>
  </si>
  <si>
    <t xml:space="preserve">E6-H24 — Pausa o derivación de OT</t>
  </si>
  <si>
    <t>https://trello.com/c/9Cypd15I</t>
  </si>
  <si>
    <t xml:space="preserve">E9-H22 — Bitácora de auditoría</t>
  </si>
  <si>
    <t>https://trello.com/c/zPtAuNPn</t>
  </si>
  <si>
    <t xml:space="preserve">E5-H30 — Calificación de servicio (CSAT)</t>
  </si>
  <si>
    <t>https://trello.com/c/Q8yqLIoa</t>
  </si>
  <si>
    <t xml:space="preserve">E10-H29 — Centro de avisos en plataforma</t>
  </si>
  <si>
    <t>https://trello.com/c/Co1wA4bd</t>
  </si>
  <si>
    <t xml:space="preserve">Administrar categorías, marcas, modelos y ubicaciones en PySide6</t>
  </si>
  <si>
    <t>https://trello.com/c/sQtXRfla</t>
  </si>
  <si>
    <t xml:space="preserve">QA y evidencias Sprint 6</t>
  </si>
  <si>
    <t>https://trello.com/c/A2XviJxj</t>
  </si>
  <si>
    <t xml:space="preserve">Reunión retrospectiva del Sprint 6</t>
  </si>
  <si>
    <t xml:space="preserve">Diego Alcaíno / Joaquín Riquelme / Ignacio Troncoso</t>
  </si>
  <si>
    <t>https://trello.com/c/ftgJX77O</t>
  </si>
  <si>
    <t xml:space="preserve">Horas estimadas por integrante</t>
  </si>
  <si>
    <t>Integrante</t>
  </si>
  <si>
    <t>Actividades</t>
  </si>
  <si>
    <t>Total</t>
  </si>
  <si>
    <t xml:space="preserve">La retrospectiva duró una hora y registra una hora de participación por cada integrante.</t>
  </si>
  <si>
    <t xml:space="preserve">Verificación final y registros de cierre completados el 26/10/2026.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</si>
</sst>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dd/mm/yyyy"/>
  </numFmts>
  <fonts count="15">
    <font>
      <sz val="11.000000"/>
      <color theme="1"/>
      <name val="Calibri"/>
    </font>
    <font>
      <b/>
      <sz val="14.000000"/>
      <color indexed="65"/>
      <name val="Calibri"/>
    </font>
    <font>
      <b/>
      <sz val="12.000000"/>
      <color indexed="64"/>
      <name val="Calibri"/>
    </font>
    <font>
      <b/>
      <sz val="10.000000"/>
      <color indexed="64"/>
      <name val="Calibri"/>
    </font>
    <font>
      <sz val="10.000000"/>
      <color indexed="64"/>
      <name val="Calibri"/>
    </font>
    <font>
      <b/>
      <sz val="11.000000"/>
      <color theme="1"/>
      <name val="Calibri"/>
    </font>
    <font>
      <b/>
      <sz val="13.000000"/>
      <color theme="1"/>
      <name val="Calibri"/>
    </font>
    <font>
      <b/>
      <sz val="13.000000"/>
      <color indexed="64"/>
      <name val="Calibri"/>
    </font>
    <font>
      <b/>
      <sz val="11.000000"/>
      <color indexed="65"/>
      <name val="Calibri"/>
    </font>
    <font>
      <b/>
      <color theme="1"/>
      <name val="Calibri"/>
    </font>
    <font>
      <b/>
      <sz val="11.000000"/>
      <color indexed="64"/>
      <name val="Calibri"/>
    </font>
    <font>
      <sz val="11.000000"/>
      <color indexed="64"/>
      <name val="Calibri"/>
    </font>
    <font>
      <color theme="1"/>
      <name val="Calibri"/>
    </font>
    <font>
      <sz val="10.000000"/>
      <color theme="1"/>
      <name val="Calibri"/>
    </font>
    <font>
      <u/>
      <sz val="11.000000"/>
      <color theme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6EEF8"/>
      </patternFill>
    </fill>
    <fill>
      <patternFill patternType="solid">
        <fgColor rgb="FF24456C"/>
      </patternFill>
    </fill>
    <fill>
      <patternFill patternType="solid">
        <fgColor indexed="65"/>
      </patternFill>
    </fill>
    <fill>
      <patternFill patternType="solid">
        <fgColor rgb="FFF1F5FA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rgb="FFC4D2E2"/>
      </left>
      <right style="thin">
        <color rgb="FFC4D2E2"/>
      </right>
      <top style="thin">
        <color rgb="FFC4D2E2"/>
      </top>
      <bottom style="thin">
        <color rgb="FFC4D2E2"/>
      </bottom>
      <diagonal style="none"/>
    </border>
  </borders>
  <cellStyleXfs count="3"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39">
    <xf fontId="0" fillId="0" borderId="0" numFmtId="0" xfId="0"/>
    <xf fontId="1" fillId="2" borderId="0" numFmtId="0" xfId="0" applyFont="1" applyFill="1"/>
    <xf fontId="2" fillId="3" borderId="0" numFmtId="0" xfId="0" applyFont="1" applyFill="1"/>
    <xf fontId="2" fillId="0" borderId="0" numFmtId="0" xfId="0" applyFont="1"/>
    <xf fontId="3" fillId="0" borderId="0" numFmtId="0" xfId="0" applyFont="1"/>
    <xf fontId="4" fillId="0" borderId="0" numFmtId="0" xfId="0" applyFont="1"/>
    <xf fontId="5" fillId="0" borderId="0" numFmtId="0" xfId="0" applyFont="1"/>
    <xf fontId="6" fillId="0" borderId="0" numFmtId="0" xfId="0" applyFont="1" applyAlignment="1">
      <alignment horizontal="center"/>
    </xf>
    <xf fontId="7" fillId="0" borderId="0" numFmtId="164" xfId="0" applyNumberFormat="1" applyFont="1" applyAlignment="1">
      <alignment horizontal="center" vertical="center"/>
    </xf>
    <xf fontId="0" fillId="0" borderId="0" numFmtId="0" xfId="0"/>
    <xf fontId="8" fillId="4" borderId="1" numFmtId="0" xfId="0" applyFont="1" applyFill="1" applyBorder="1" applyAlignment="1">
      <alignment horizontal="center" vertical="center" wrapText="1"/>
    </xf>
    <xf fontId="8" fillId="4" borderId="0" numFmtId="0" xfId="0" applyFont="1" applyFill="1" applyAlignment="1">
      <alignment horizontal="center" vertical="center" wrapText="1"/>
    </xf>
    <xf fontId="9" fillId="0" borderId="0" numFmtId="0" xfId="0" applyFont="1" applyAlignment="1">
      <alignment horizontal="center"/>
    </xf>
    <xf fontId="9" fillId="0" borderId="0" numFmtId="0" xfId="0" applyFont="1" applyAlignment="1">
      <alignment horizontal="right"/>
    </xf>
    <xf fontId="10" fillId="3" borderId="2" numFmtId="0" xfId="0" applyFont="1" applyFill="1" applyBorder="1" applyAlignment="1">
      <alignment horizontal="center" vertical="center" wrapText="1"/>
    </xf>
    <xf fontId="11" fillId="3" borderId="2" numFmtId="0" xfId="0" applyFont="1" applyFill="1" applyBorder="1" applyAlignment="1">
      <alignment horizontal="center" vertical="center" wrapText="1"/>
    </xf>
    <xf fontId="11" fillId="3" borderId="2" numFmtId="0" xfId="0" applyFont="1" applyFill="1" applyBorder="1" applyAlignment="1">
      <alignment horizontal="left" vertical="center" wrapText="1"/>
    </xf>
    <xf fontId="11" fillId="3" borderId="2" numFmtId="164" xfId="0" applyNumberFormat="1" applyFont="1" applyFill="1" applyBorder="1" applyAlignment="1">
      <alignment horizontal="center" vertical="center" wrapText="1"/>
    </xf>
    <xf fontId="11" fillId="3" borderId="2" numFmtId="165" xfId="0" applyNumberFormat="1" applyFont="1" applyFill="1" applyBorder="1" applyAlignment="1">
      <alignment horizontal="center" vertical="center" wrapText="1"/>
    </xf>
    <xf fontId="12" fillId="0" borderId="0" numFmtId="0" xfId="0" applyFont="1" applyAlignment="1">
      <alignment horizontal="right"/>
    </xf>
    <xf fontId="10" fillId="5" borderId="2" numFmtId="0" xfId="0" applyFont="1" applyFill="1" applyBorder="1" applyAlignment="1">
      <alignment horizontal="center" vertical="center" wrapText="1"/>
    </xf>
    <xf fontId="11" fillId="5" borderId="2" numFmtId="0" xfId="0" applyFont="1" applyFill="1" applyBorder="1" applyAlignment="1">
      <alignment horizontal="center" vertical="center" wrapText="1"/>
    </xf>
    <xf fontId="11" fillId="5" borderId="2" numFmtId="0" xfId="0" applyFont="1" applyFill="1" applyBorder="1" applyAlignment="1">
      <alignment horizontal="left" vertical="center" wrapText="1"/>
    </xf>
    <xf fontId="11" fillId="5" borderId="2" numFmtId="164" xfId="0" applyNumberFormat="1" applyFont="1" applyFill="1" applyBorder="1" applyAlignment="1">
      <alignment horizontal="center" vertical="center" wrapText="1"/>
    </xf>
    <xf fontId="11" fillId="5" borderId="2" numFmtId="165" xfId="0" applyNumberFormat="1" applyFont="1" applyFill="1" applyBorder="1" applyAlignment="1">
      <alignment horizontal="center" vertical="center" wrapText="1"/>
    </xf>
    <xf fontId="8" fillId="4" borderId="2" numFmtId="0" xfId="0" applyFont="1" applyFill="1" applyBorder="1" applyAlignment="1">
      <alignment horizontal="center" vertical="center" wrapText="1"/>
    </xf>
    <xf fontId="13" fillId="0" borderId="0" numFmtId="0" xfId="0" applyFont="1"/>
    <xf fontId="11" fillId="5" borderId="2" numFmtId="0" xfId="0" applyFont="1" applyFill="1" applyBorder="1" applyAlignment="1">
      <alignment vertical="center" wrapText="1"/>
    </xf>
    <xf fontId="14" fillId="5" borderId="2" numFmtId="0" xfId="0" applyFont="1" applyFill="1" applyBorder="1" applyAlignment="1">
      <alignment vertical="center" wrapText="1"/>
    </xf>
    <xf fontId="11" fillId="6" borderId="2" numFmtId="0" xfId="0" applyFont="1" applyFill="1" applyBorder="1" applyAlignment="1">
      <alignment vertical="center" wrapText="1"/>
    </xf>
    <xf fontId="11" fillId="6" borderId="2" numFmtId="0" xfId="0" applyFont="1" applyFill="1" applyBorder="1" applyAlignment="1">
      <alignment horizontal="center" vertical="center" wrapText="1"/>
    </xf>
    <xf fontId="11" fillId="6" borderId="2" numFmtId="164" xfId="0" applyNumberFormat="1" applyFont="1" applyFill="1" applyBorder="1" applyAlignment="1">
      <alignment horizontal="center" vertical="center" wrapText="1"/>
    </xf>
    <xf fontId="11" fillId="6" borderId="2" numFmtId="165" xfId="0" applyNumberFormat="1" applyFont="1" applyFill="1" applyBorder="1" applyAlignment="1">
      <alignment horizontal="center" vertical="center" wrapText="1"/>
    </xf>
    <xf fontId="14" fillId="6" borderId="2" numFmtId="0" xfId="0" applyFont="1" applyFill="1" applyBorder="1" applyAlignment="1">
      <alignment vertical="center" wrapText="1"/>
    </xf>
    <xf fontId="8" fillId="4" borderId="2" numFmtId="0" xfId="0" applyFont="1" applyFill="1" applyBorder="1" applyAlignment="1">
      <alignment vertical="center" wrapText="1"/>
    </xf>
    <xf fontId="11" fillId="0" borderId="2" numFmtId="0" xfId="0" applyFont="1" applyBorder="1" applyAlignment="1">
      <alignment vertical="center" wrapText="1"/>
    </xf>
    <xf fontId="11" fillId="0" borderId="2" numFmtId="164" xfId="0" applyNumberFormat="1" applyFont="1" applyBorder="1" applyAlignment="1">
      <alignment horizontal="center" vertical="center" wrapText="1"/>
    </xf>
    <xf fontId="10" fillId="3" borderId="2" numFmtId="0" xfId="0" applyFont="1" applyFill="1" applyBorder="1" applyAlignment="1">
      <alignment vertical="center" wrapText="1"/>
    </xf>
    <xf fontId="10" fillId="3" borderId="2" numFmtId="164" xfId="0" applyNumberFormat="1" applyFont="1" applyFill="1" applyBorder="1" applyAlignment="1">
      <alignment horizontal="center" vertical="center" wrapText="1"/>
    </xf>
  </cellXfs>
  <cellStyles count="3">
    <cellStyle name="Normal" xfId="1"/>
    <cellStyle name="Normal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hyperlink" Target="https://trello.com/c/XGqaBPLX" TargetMode="External"/><Relationship  Id="rId10" Type="http://schemas.openxmlformats.org/officeDocument/2006/relationships/hyperlink" Target="https://trello.com/c/unmX7kUb" TargetMode="External"/><Relationship  Id="rId11" Type="http://schemas.openxmlformats.org/officeDocument/2006/relationships/hyperlink" Target="https://trello.com/c/9Cypd15I" TargetMode="External"/><Relationship  Id="rId12" Type="http://schemas.openxmlformats.org/officeDocument/2006/relationships/hyperlink" Target="https://trello.com/c/zPtAuNPn" TargetMode="External"/><Relationship  Id="rId13" Type="http://schemas.openxmlformats.org/officeDocument/2006/relationships/hyperlink" Target="https://trello.com/c/Q8yqLIoa" TargetMode="External"/><Relationship  Id="rId14" Type="http://schemas.openxmlformats.org/officeDocument/2006/relationships/hyperlink" Target="https://trello.com/c/Co1wA4bd" TargetMode="External"/><Relationship  Id="rId15" Type="http://schemas.openxmlformats.org/officeDocument/2006/relationships/hyperlink" Target="https://trello.com/c/sQtXRfla" TargetMode="External"/><Relationship  Id="rId16" Type="http://schemas.openxmlformats.org/officeDocument/2006/relationships/hyperlink" Target="https://trello.com/c/A2XviJxj" TargetMode="External"/><Relationship  Id="rId17" Type="http://schemas.openxmlformats.org/officeDocument/2006/relationships/hyperlink" Target="https://trello.com/c/ftgJX77O" TargetMode="External"/><Relationship  Id="rId2" Type="http://schemas.openxmlformats.org/officeDocument/2006/relationships/hyperlink" Target="https://trello.com/c/rLx10XKw" TargetMode="External"/><Relationship  Id="rId3" Type="http://schemas.openxmlformats.org/officeDocument/2006/relationships/hyperlink" Target="https://trello.com/c/lbxBSOC9" TargetMode="External"/><Relationship  Id="rId4" Type="http://schemas.openxmlformats.org/officeDocument/2006/relationships/hyperlink" Target="https://trello.com/c/w8t5ic4c" TargetMode="External"/><Relationship  Id="rId5" Type="http://schemas.openxmlformats.org/officeDocument/2006/relationships/hyperlink" Target="https://trello.com/c/Qy9hMgUn" TargetMode="External"/><Relationship  Id="rId6" Type="http://schemas.openxmlformats.org/officeDocument/2006/relationships/hyperlink" Target="https://trello.com/c/EGNupfqe" TargetMode="External"/><Relationship  Id="rId7" Type="http://schemas.openxmlformats.org/officeDocument/2006/relationships/hyperlink" Target="https://trello.com/c/erJ0xxRz" TargetMode="External"/><Relationship  Id="rId8" Type="http://schemas.openxmlformats.org/officeDocument/2006/relationships/hyperlink" Target="https://trello.com/c/g6XLyUJI" TargetMode="External"/><Relationship  Id="rId9" Type="http://schemas.openxmlformats.org/officeDocument/2006/relationships/hyperlink" Target="https://trello.com/c/ZIszWkt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6" topLeftCell="A7" activePane="bottomLeft" state="frozen"/>
      <selection activeCell="A3" activeCellId="0" sqref="A3:G3"/>
    </sheetView>
  </sheetViews>
  <sheetFormatPr defaultColWidth="14.430000305175781" defaultRowHeight="14.25"/>
  <cols>
    <col customWidth="1" min="1" max="1" width="23"/>
    <col customWidth="1" min="2" max="2" width="10"/>
    <col customWidth="1" min="3" max="3" width="67"/>
    <col customWidth="1" min="4" max="4" width="13"/>
    <col customWidth="1" min="5" max="5" width="23"/>
    <col customWidth="1" min="6" max="6" width="17"/>
    <col customWidth="1" min="7" max="7" width="16"/>
    <col customWidth="1" min="8" max="26" width="10.710000038146973"/>
  </cols>
  <sheetData>
    <row r="1" ht="25" customHeight="1">
      <c r="A1" s="1" t="s">
        <v>0</v>
      </c>
      <c r="B1" s="1"/>
      <c r="C1" s="1"/>
      <c r="D1" s="1"/>
      <c r="E1" s="1"/>
      <c r="F1" s="1"/>
      <c r="G1" s="1"/>
    </row>
    <row r="2" ht="24" customHeight="1">
      <c r="A2" s="2" t="s">
        <v>1</v>
      </c>
      <c r="B2" s="2"/>
      <c r="C2" s="2"/>
      <c r="D2" s="2"/>
      <c r="E2" s="3"/>
      <c r="F2" s="3"/>
      <c r="G2" s="3"/>
    </row>
    <row r="3" ht="22" customHeight="1">
      <c r="A3" s="4" t="s">
        <v>2</v>
      </c>
      <c r="B3" s="4"/>
      <c r="C3" s="5"/>
      <c r="D3" s="5"/>
      <c r="E3" s="5"/>
      <c r="F3" s="5"/>
      <c r="G3" s="5"/>
    </row>
    <row r="4" ht="30.75" customHeight="1">
      <c r="A4" s="6" t="s">
        <v>3</v>
      </c>
      <c r="B4" s="6"/>
      <c r="C4" s="7"/>
      <c r="D4" s="8">
        <f>SUM(D7:D68)</f>
        <v>75.5</v>
      </c>
    </row>
    <row r="5" ht="14.25" customHeight="1">
      <c r="A5" s="9"/>
      <c r="B5" s="9"/>
      <c r="C5" s="9"/>
      <c r="D5" s="9"/>
    </row>
    <row r="6" ht="34" customHeight="1">
      <c r="A6" s="10" t="s">
        <v>4</v>
      </c>
      <c r="B6" s="10" t="s">
        <v>5</v>
      </c>
      <c r="C6" s="10" t="s">
        <v>6</v>
      </c>
      <c r="D6" s="10" t="s">
        <v>7</v>
      </c>
      <c r="E6" s="11" t="s">
        <v>8</v>
      </c>
      <c r="F6" s="11" t="s">
        <v>9</v>
      </c>
      <c r="G6" s="11" t="s">
        <v>10</v>
      </c>
      <c r="H6" s="12"/>
      <c r="I6" s="12"/>
      <c r="J6" s="13"/>
    </row>
    <row r="7" ht="42" customHeight="1">
      <c r="A7" s="14" t="s">
        <v>11</v>
      </c>
      <c r="B7" s="15" t="s">
        <v>12</v>
      </c>
      <c r="C7" s="16" t="s">
        <v>13</v>
      </c>
      <c r="D7" s="17">
        <v>2</v>
      </c>
      <c r="E7" s="15" t="s">
        <v>14</v>
      </c>
      <c r="F7" s="18">
        <v>46315.5</v>
      </c>
      <c r="G7" s="15" t="s">
        <v>15</v>
      </c>
      <c r="J7" s="19"/>
    </row>
    <row r="8" ht="42" customHeight="1">
      <c r="A8" s="14" t="s">
        <v>11</v>
      </c>
      <c r="B8" s="15" t="s">
        <v>16</v>
      </c>
      <c r="C8" s="16" t="s">
        <v>17</v>
      </c>
      <c r="D8" s="17">
        <v>2</v>
      </c>
      <c r="E8" s="15" t="s">
        <v>14</v>
      </c>
      <c r="F8" s="18">
        <v>46315.5</v>
      </c>
      <c r="G8" s="15" t="s">
        <v>15</v>
      </c>
      <c r="J8" s="19"/>
    </row>
    <row r="9" ht="42" customHeight="1">
      <c r="A9" s="14" t="s">
        <v>11</v>
      </c>
      <c r="B9" s="15" t="s">
        <v>18</v>
      </c>
      <c r="C9" s="16" t="s">
        <v>19</v>
      </c>
      <c r="D9" s="17">
        <v>2</v>
      </c>
      <c r="E9" s="15" t="s">
        <v>14</v>
      </c>
      <c r="F9" s="18">
        <v>46315.5</v>
      </c>
      <c r="G9" s="15" t="s">
        <v>15</v>
      </c>
      <c r="J9" s="19"/>
    </row>
    <row r="10" ht="42" customHeight="1">
      <c r="A10" s="14" t="s">
        <v>11</v>
      </c>
      <c r="B10" s="15" t="s">
        <v>20</v>
      </c>
      <c r="C10" s="16" t="s">
        <v>21</v>
      </c>
      <c r="D10" s="17">
        <v>2</v>
      </c>
      <c r="E10" s="15" t="s">
        <v>14</v>
      </c>
      <c r="F10" s="18">
        <v>46315.5</v>
      </c>
      <c r="G10" s="15" t="s">
        <v>15</v>
      </c>
      <c r="J10" s="19"/>
    </row>
    <row r="11" ht="42" customHeight="1">
      <c r="A11" s="20" t="s">
        <v>22</v>
      </c>
      <c r="B11" s="21" t="s">
        <v>12</v>
      </c>
      <c r="C11" s="22" t="s">
        <v>23</v>
      </c>
      <c r="D11" s="23">
        <v>1</v>
      </c>
      <c r="E11" s="21" t="s">
        <v>14</v>
      </c>
      <c r="F11" s="24">
        <v>46315.5</v>
      </c>
      <c r="G11" s="21" t="s">
        <v>15</v>
      </c>
      <c r="J11" s="19"/>
    </row>
    <row r="12" ht="42" customHeight="1">
      <c r="A12" s="20" t="s">
        <v>22</v>
      </c>
      <c r="B12" s="21" t="s">
        <v>16</v>
      </c>
      <c r="C12" s="22" t="s">
        <v>24</v>
      </c>
      <c r="D12" s="23">
        <v>0.5</v>
      </c>
      <c r="E12" s="21" t="s">
        <v>14</v>
      </c>
      <c r="F12" s="24">
        <v>46315.5</v>
      </c>
      <c r="G12" s="21" t="s">
        <v>15</v>
      </c>
      <c r="J12" s="19"/>
    </row>
    <row r="13" ht="42" customHeight="1">
      <c r="A13" s="14" t="s">
        <v>25</v>
      </c>
      <c r="B13" s="15" t="s">
        <v>12</v>
      </c>
      <c r="C13" s="16" t="s">
        <v>26</v>
      </c>
      <c r="D13" s="17">
        <v>0.5</v>
      </c>
      <c r="E13" s="15" t="s">
        <v>14</v>
      </c>
      <c r="F13" s="18">
        <v>46315.5</v>
      </c>
      <c r="G13" s="15" t="s">
        <v>15</v>
      </c>
      <c r="J13" s="19"/>
    </row>
    <row r="14" ht="42" customHeight="1">
      <c r="A14" s="14" t="s">
        <v>25</v>
      </c>
      <c r="B14" s="15" t="s">
        <v>16</v>
      </c>
      <c r="C14" s="16" t="s">
        <v>27</v>
      </c>
      <c r="D14" s="17">
        <v>0.5</v>
      </c>
      <c r="E14" s="15" t="s">
        <v>14</v>
      </c>
      <c r="F14" s="18">
        <v>46315.5</v>
      </c>
      <c r="G14" s="15" t="s">
        <v>15</v>
      </c>
      <c r="J14" s="19"/>
    </row>
    <row r="15" ht="42" customHeight="1">
      <c r="A15" s="20" t="s">
        <v>28</v>
      </c>
      <c r="B15" s="21" t="s">
        <v>12</v>
      </c>
      <c r="C15" s="22" t="s">
        <v>29</v>
      </c>
      <c r="D15" s="23">
        <v>1.5</v>
      </c>
      <c r="E15" s="21" t="s">
        <v>30</v>
      </c>
      <c r="F15" s="24">
        <v>46320.5</v>
      </c>
      <c r="G15" s="21" t="s">
        <v>15</v>
      </c>
      <c r="J15" s="19"/>
    </row>
    <row r="16" ht="42" customHeight="1">
      <c r="A16" s="20" t="s">
        <v>28</v>
      </c>
      <c r="B16" s="21" t="s">
        <v>16</v>
      </c>
      <c r="C16" s="22" t="s">
        <v>31</v>
      </c>
      <c r="D16" s="23">
        <v>2</v>
      </c>
      <c r="E16" s="21" t="s">
        <v>30</v>
      </c>
      <c r="F16" s="24">
        <v>46320.5</v>
      </c>
      <c r="G16" s="21" t="s">
        <v>15</v>
      </c>
      <c r="J16" s="19"/>
    </row>
    <row r="17" ht="42" customHeight="1">
      <c r="A17" s="20" t="s">
        <v>28</v>
      </c>
      <c r="B17" s="21" t="s">
        <v>18</v>
      </c>
      <c r="C17" s="22" t="s">
        <v>32</v>
      </c>
      <c r="D17" s="23">
        <v>2.5</v>
      </c>
      <c r="E17" s="21" t="s">
        <v>30</v>
      </c>
      <c r="F17" s="24">
        <v>46320.5</v>
      </c>
      <c r="G17" s="21" t="s">
        <v>15</v>
      </c>
      <c r="J17" s="19"/>
    </row>
    <row r="18" ht="42" customHeight="1">
      <c r="A18" s="20" t="s">
        <v>28</v>
      </c>
      <c r="B18" s="21" t="s">
        <v>20</v>
      </c>
      <c r="C18" s="22" t="s">
        <v>33</v>
      </c>
      <c r="D18" s="23">
        <v>1.5</v>
      </c>
      <c r="E18" s="21" t="s">
        <v>30</v>
      </c>
      <c r="F18" s="24">
        <v>46320.5</v>
      </c>
      <c r="G18" s="21" t="s">
        <v>15</v>
      </c>
      <c r="J18" s="19"/>
    </row>
    <row r="19" ht="42" customHeight="1">
      <c r="A19" s="20" t="s">
        <v>28</v>
      </c>
      <c r="B19" s="21" t="s">
        <v>34</v>
      </c>
      <c r="C19" s="22" t="s">
        <v>35</v>
      </c>
      <c r="D19" s="23">
        <v>1.5</v>
      </c>
      <c r="E19" s="21" t="s">
        <v>30</v>
      </c>
      <c r="F19" s="24">
        <v>46320.5</v>
      </c>
      <c r="G19" s="21" t="s">
        <v>15</v>
      </c>
      <c r="J19" s="19"/>
    </row>
    <row r="20" ht="42" customHeight="1">
      <c r="A20" s="14" t="s">
        <v>36</v>
      </c>
      <c r="B20" s="15" t="s">
        <v>12</v>
      </c>
      <c r="C20" s="16" t="s">
        <v>37</v>
      </c>
      <c r="D20" s="17">
        <v>2</v>
      </c>
      <c r="E20" s="15" t="s">
        <v>38</v>
      </c>
      <c r="F20" s="18">
        <v>46316.5</v>
      </c>
      <c r="G20" s="15" t="s">
        <v>15</v>
      </c>
      <c r="J20" s="19"/>
    </row>
    <row r="21" ht="42" customHeight="1">
      <c r="A21" s="14" t="s">
        <v>36</v>
      </c>
      <c r="B21" s="15" t="s">
        <v>16</v>
      </c>
      <c r="C21" s="16" t="s">
        <v>39</v>
      </c>
      <c r="D21" s="17">
        <v>1.5</v>
      </c>
      <c r="E21" s="15" t="s">
        <v>38</v>
      </c>
      <c r="F21" s="18">
        <v>46317.5</v>
      </c>
      <c r="G21" s="15" t="s">
        <v>15</v>
      </c>
      <c r="J21" s="19"/>
    </row>
    <row r="22" ht="42" customHeight="1">
      <c r="A22" s="14" t="s">
        <v>36</v>
      </c>
      <c r="B22" s="15" t="s">
        <v>18</v>
      </c>
      <c r="C22" s="16" t="s">
        <v>40</v>
      </c>
      <c r="D22" s="17">
        <v>1.5</v>
      </c>
      <c r="E22" s="15" t="s">
        <v>38</v>
      </c>
      <c r="F22" s="18">
        <v>46317.5</v>
      </c>
      <c r="G22" s="15" t="s">
        <v>15</v>
      </c>
    </row>
    <row r="23" ht="42" customHeight="1">
      <c r="A23" s="20" t="s">
        <v>41</v>
      </c>
      <c r="B23" s="21" t="s">
        <v>12</v>
      </c>
      <c r="C23" s="22" t="s">
        <v>42</v>
      </c>
      <c r="D23" s="23">
        <v>1.5</v>
      </c>
      <c r="E23" s="21" t="s">
        <v>30</v>
      </c>
      <c r="F23" s="24">
        <v>46317.5</v>
      </c>
      <c r="G23" s="21" t="s">
        <v>15</v>
      </c>
    </row>
    <row r="24" ht="42" customHeight="1">
      <c r="A24" s="20" t="s">
        <v>41</v>
      </c>
      <c r="B24" s="21" t="s">
        <v>16</v>
      </c>
      <c r="C24" s="22" t="s">
        <v>43</v>
      </c>
      <c r="D24" s="23">
        <v>1.5</v>
      </c>
      <c r="E24" s="21" t="s">
        <v>30</v>
      </c>
      <c r="F24" s="24">
        <v>46317.5</v>
      </c>
      <c r="G24" s="21" t="s">
        <v>15</v>
      </c>
    </row>
    <row r="25" ht="42" customHeight="1">
      <c r="A25" s="20" t="s">
        <v>41</v>
      </c>
      <c r="B25" s="21" t="s">
        <v>18</v>
      </c>
      <c r="C25" s="22" t="s">
        <v>44</v>
      </c>
      <c r="D25" s="23">
        <v>1</v>
      </c>
      <c r="E25" s="21" t="s">
        <v>30</v>
      </c>
      <c r="F25" s="24">
        <v>46317.5</v>
      </c>
      <c r="G25" s="21" t="s">
        <v>15</v>
      </c>
    </row>
    <row r="26" ht="42" customHeight="1">
      <c r="A26" s="20" t="s">
        <v>41</v>
      </c>
      <c r="B26" s="21" t="s">
        <v>20</v>
      </c>
      <c r="C26" s="22" t="s">
        <v>45</v>
      </c>
      <c r="D26" s="23">
        <v>1</v>
      </c>
      <c r="E26" s="21" t="s">
        <v>30</v>
      </c>
      <c r="F26" s="24">
        <v>46317.5</v>
      </c>
      <c r="G26" s="21" t="s">
        <v>15</v>
      </c>
    </row>
    <row r="27" ht="42" customHeight="1">
      <c r="A27" s="14" t="s">
        <v>46</v>
      </c>
      <c r="B27" s="15" t="s">
        <v>12</v>
      </c>
      <c r="C27" s="16" t="s">
        <v>47</v>
      </c>
      <c r="D27" s="17">
        <v>1</v>
      </c>
      <c r="E27" s="15" t="s">
        <v>38</v>
      </c>
      <c r="F27" s="18">
        <v>46317.5</v>
      </c>
      <c r="G27" s="15" t="s">
        <v>15</v>
      </c>
    </row>
    <row r="28" ht="42" customHeight="1">
      <c r="A28" s="14" t="s">
        <v>46</v>
      </c>
      <c r="B28" s="15" t="s">
        <v>16</v>
      </c>
      <c r="C28" s="16" t="s">
        <v>48</v>
      </c>
      <c r="D28" s="17">
        <v>1</v>
      </c>
      <c r="E28" s="15" t="s">
        <v>38</v>
      </c>
      <c r="F28" s="18">
        <v>46317.5</v>
      </c>
      <c r="G28" s="15" t="s">
        <v>15</v>
      </c>
    </row>
    <row r="29" ht="42" customHeight="1">
      <c r="A29" s="14" t="s">
        <v>46</v>
      </c>
      <c r="B29" s="15" t="s">
        <v>18</v>
      </c>
      <c r="C29" s="16" t="s">
        <v>49</v>
      </c>
      <c r="D29" s="17">
        <v>1</v>
      </c>
      <c r="E29" s="15" t="s">
        <v>38</v>
      </c>
      <c r="F29" s="18">
        <v>46317.5</v>
      </c>
      <c r="G29" s="15" t="s">
        <v>15</v>
      </c>
    </row>
    <row r="30" ht="42" customHeight="1">
      <c r="A30" s="20" t="s">
        <v>50</v>
      </c>
      <c r="B30" s="21" t="s">
        <v>12</v>
      </c>
      <c r="C30" s="22" t="s">
        <v>51</v>
      </c>
      <c r="D30" s="23">
        <v>2</v>
      </c>
      <c r="E30" s="21" t="s">
        <v>38</v>
      </c>
      <c r="F30" s="24">
        <v>46316.5</v>
      </c>
      <c r="G30" s="21" t="s">
        <v>15</v>
      </c>
    </row>
    <row r="31" ht="42" customHeight="1">
      <c r="A31" s="20" t="s">
        <v>50</v>
      </c>
      <c r="B31" s="21" t="s">
        <v>16</v>
      </c>
      <c r="C31" s="22" t="s">
        <v>52</v>
      </c>
      <c r="D31" s="23">
        <v>1.5</v>
      </c>
      <c r="E31" s="21" t="s">
        <v>38</v>
      </c>
      <c r="F31" s="24">
        <v>46316.5</v>
      </c>
      <c r="G31" s="21" t="s">
        <v>15</v>
      </c>
    </row>
    <row r="32" ht="42" customHeight="1">
      <c r="A32" s="20" t="s">
        <v>50</v>
      </c>
      <c r="B32" s="21" t="s">
        <v>18</v>
      </c>
      <c r="C32" s="22" t="s">
        <v>53</v>
      </c>
      <c r="D32" s="23">
        <v>1.5</v>
      </c>
      <c r="E32" s="21" t="s">
        <v>38</v>
      </c>
      <c r="F32" s="24">
        <v>46316.5</v>
      </c>
      <c r="G32" s="21" t="s">
        <v>15</v>
      </c>
    </row>
    <row r="33" ht="42" customHeight="1">
      <c r="A33" s="14" t="s">
        <v>54</v>
      </c>
      <c r="B33" s="15" t="s">
        <v>12</v>
      </c>
      <c r="C33" s="16" t="s">
        <v>55</v>
      </c>
      <c r="D33" s="17">
        <v>1.5</v>
      </c>
      <c r="E33" s="15" t="s">
        <v>14</v>
      </c>
      <c r="F33" s="18">
        <v>46317.5</v>
      </c>
      <c r="G33" s="15" t="s">
        <v>15</v>
      </c>
    </row>
    <row r="34" ht="42" customHeight="1">
      <c r="A34" s="14" t="s">
        <v>54</v>
      </c>
      <c r="B34" s="15" t="s">
        <v>16</v>
      </c>
      <c r="C34" s="16" t="s">
        <v>56</v>
      </c>
      <c r="D34" s="17">
        <v>1.5</v>
      </c>
      <c r="E34" s="15" t="s">
        <v>14</v>
      </c>
      <c r="F34" s="18">
        <v>46317.5</v>
      </c>
      <c r="G34" s="15" t="s">
        <v>15</v>
      </c>
    </row>
    <row r="35" ht="42" customHeight="1">
      <c r="A35" s="14" t="s">
        <v>54</v>
      </c>
      <c r="B35" s="15" t="s">
        <v>18</v>
      </c>
      <c r="C35" s="16" t="s">
        <v>57</v>
      </c>
      <c r="D35" s="17">
        <v>1.5</v>
      </c>
      <c r="E35" s="15" t="s">
        <v>14</v>
      </c>
      <c r="F35" s="18">
        <v>46317.5</v>
      </c>
      <c r="G35" s="15" t="s">
        <v>15</v>
      </c>
    </row>
    <row r="36" ht="42" customHeight="1">
      <c r="A36" s="14" t="s">
        <v>54</v>
      </c>
      <c r="B36" s="15" t="s">
        <v>20</v>
      </c>
      <c r="C36" s="16" t="s">
        <v>58</v>
      </c>
      <c r="D36" s="17">
        <v>0.5</v>
      </c>
      <c r="E36" s="15" t="s">
        <v>14</v>
      </c>
      <c r="F36" s="18">
        <v>46317.5</v>
      </c>
      <c r="G36" s="15" t="s">
        <v>15</v>
      </c>
    </row>
    <row r="37" ht="42" customHeight="1">
      <c r="A37" s="14" t="s">
        <v>54</v>
      </c>
      <c r="B37" s="15" t="s">
        <v>34</v>
      </c>
      <c r="C37" s="16" t="s">
        <v>59</v>
      </c>
      <c r="D37" s="17">
        <v>1</v>
      </c>
      <c r="E37" s="15" t="s">
        <v>14</v>
      </c>
      <c r="F37" s="18">
        <v>46318.5</v>
      </c>
      <c r="G37" s="15" t="s">
        <v>15</v>
      </c>
    </row>
    <row r="38" ht="42" customHeight="1">
      <c r="A38" s="20" t="s">
        <v>60</v>
      </c>
      <c r="B38" s="21" t="s">
        <v>12</v>
      </c>
      <c r="C38" s="22" t="s">
        <v>61</v>
      </c>
      <c r="D38" s="23">
        <v>1</v>
      </c>
      <c r="E38" s="21" t="s">
        <v>14</v>
      </c>
      <c r="F38" s="24">
        <v>46317.5</v>
      </c>
      <c r="G38" s="21" t="s">
        <v>15</v>
      </c>
    </row>
    <row r="39" ht="42" customHeight="1">
      <c r="A39" s="20" t="s">
        <v>60</v>
      </c>
      <c r="B39" s="21" t="s">
        <v>16</v>
      </c>
      <c r="C39" s="22" t="s">
        <v>62</v>
      </c>
      <c r="D39" s="23">
        <v>0.5</v>
      </c>
      <c r="E39" s="21" t="s">
        <v>14</v>
      </c>
      <c r="F39" s="24">
        <v>46317.5</v>
      </c>
      <c r="G39" s="21" t="s">
        <v>15</v>
      </c>
    </row>
    <row r="40" ht="42" customHeight="1">
      <c r="A40" s="20" t="s">
        <v>60</v>
      </c>
      <c r="B40" s="21" t="s">
        <v>18</v>
      </c>
      <c r="C40" s="22" t="s">
        <v>63</v>
      </c>
      <c r="D40" s="23">
        <v>0.5</v>
      </c>
      <c r="E40" s="21" t="s">
        <v>14</v>
      </c>
      <c r="F40" s="24">
        <v>46317.5</v>
      </c>
      <c r="G40" s="21" t="s">
        <v>15</v>
      </c>
    </row>
    <row r="41" ht="42" customHeight="1">
      <c r="A41" s="14" t="s">
        <v>64</v>
      </c>
      <c r="B41" s="15" t="s">
        <v>12</v>
      </c>
      <c r="C41" s="16" t="s">
        <v>65</v>
      </c>
      <c r="D41" s="17">
        <v>1.5</v>
      </c>
      <c r="E41" s="15" t="s">
        <v>38</v>
      </c>
      <c r="F41" s="18">
        <v>46318.5</v>
      </c>
      <c r="G41" s="15" t="s">
        <v>15</v>
      </c>
    </row>
    <row r="42" ht="42" customHeight="1">
      <c r="A42" s="14" t="s">
        <v>64</v>
      </c>
      <c r="B42" s="15" t="s">
        <v>16</v>
      </c>
      <c r="C42" s="16" t="s">
        <v>66</v>
      </c>
      <c r="D42" s="17">
        <v>1</v>
      </c>
      <c r="E42" s="15" t="s">
        <v>38</v>
      </c>
      <c r="F42" s="18">
        <v>46318.5</v>
      </c>
      <c r="G42" s="15" t="s">
        <v>15</v>
      </c>
    </row>
    <row r="43" ht="42" customHeight="1">
      <c r="A43" s="14" t="s">
        <v>64</v>
      </c>
      <c r="B43" s="15" t="s">
        <v>18</v>
      </c>
      <c r="C43" s="16" t="s">
        <v>67</v>
      </c>
      <c r="D43" s="17">
        <v>1.5</v>
      </c>
      <c r="E43" s="15" t="s">
        <v>38</v>
      </c>
      <c r="F43" s="18">
        <v>46318.5</v>
      </c>
      <c r="G43" s="15" t="s">
        <v>15</v>
      </c>
    </row>
    <row r="44" ht="42" customHeight="1">
      <c r="A44" s="14" t="s">
        <v>64</v>
      </c>
      <c r="B44" s="15" t="s">
        <v>20</v>
      </c>
      <c r="C44" s="16" t="s">
        <v>68</v>
      </c>
      <c r="D44" s="17">
        <v>1</v>
      </c>
      <c r="E44" s="15" t="s">
        <v>38</v>
      </c>
      <c r="F44" s="18">
        <v>46318.5</v>
      </c>
      <c r="G44" s="15" t="s">
        <v>15</v>
      </c>
    </row>
    <row r="45" ht="42" customHeight="1">
      <c r="A45" s="20" t="s">
        <v>69</v>
      </c>
      <c r="B45" s="21" t="s">
        <v>12</v>
      </c>
      <c r="C45" s="22" t="s">
        <v>70</v>
      </c>
      <c r="D45" s="23">
        <v>1.5</v>
      </c>
      <c r="E45" s="21" t="s">
        <v>14</v>
      </c>
      <c r="F45" s="24">
        <v>46318.5</v>
      </c>
      <c r="G45" s="21" t="s">
        <v>15</v>
      </c>
    </row>
    <row r="46" ht="42" customHeight="1">
      <c r="A46" s="20" t="s">
        <v>69</v>
      </c>
      <c r="B46" s="21" t="s">
        <v>16</v>
      </c>
      <c r="C46" s="22" t="s">
        <v>71</v>
      </c>
      <c r="D46" s="23">
        <v>1</v>
      </c>
      <c r="E46" s="21" t="s">
        <v>14</v>
      </c>
      <c r="F46" s="24">
        <v>46318.5</v>
      </c>
      <c r="G46" s="21" t="s">
        <v>15</v>
      </c>
    </row>
    <row r="47" ht="42" customHeight="1">
      <c r="A47" s="20" t="s">
        <v>69</v>
      </c>
      <c r="B47" s="21" t="s">
        <v>18</v>
      </c>
      <c r="C47" s="22" t="s">
        <v>72</v>
      </c>
      <c r="D47" s="23">
        <v>1</v>
      </c>
      <c r="E47" s="21" t="s">
        <v>14</v>
      </c>
      <c r="F47" s="24">
        <v>46318.5</v>
      </c>
      <c r="G47" s="21" t="s">
        <v>15</v>
      </c>
    </row>
    <row r="48" ht="42" customHeight="1">
      <c r="A48" s="20" t="s">
        <v>69</v>
      </c>
      <c r="B48" s="21" t="s">
        <v>20</v>
      </c>
      <c r="C48" s="22" t="s">
        <v>73</v>
      </c>
      <c r="D48" s="23">
        <v>0.5</v>
      </c>
      <c r="E48" s="21" t="s">
        <v>14</v>
      </c>
      <c r="F48" s="24">
        <v>46318.5</v>
      </c>
      <c r="G48" s="21" t="s">
        <v>15</v>
      </c>
    </row>
    <row r="49" ht="42" customHeight="1">
      <c r="A49" s="14" t="s">
        <v>74</v>
      </c>
      <c r="B49" s="15" t="s">
        <v>12</v>
      </c>
      <c r="C49" s="16" t="s">
        <v>75</v>
      </c>
      <c r="D49" s="17">
        <v>1.5</v>
      </c>
      <c r="E49" s="15" t="s">
        <v>14</v>
      </c>
      <c r="F49" s="18">
        <v>46317.5</v>
      </c>
      <c r="G49" s="15" t="s">
        <v>15</v>
      </c>
    </row>
    <row r="50" ht="42" customHeight="1">
      <c r="A50" s="14" t="s">
        <v>74</v>
      </c>
      <c r="B50" s="15" t="s">
        <v>16</v>
      </c>
      <c r="C50" s="16" t="s">
        <v>76</v>
      </c>
      <c r="D50" s="17">
        <v>1</v>
      </c>
      <c r="E50" s="15" t="s">
        <v>14</v>
      </c>
      <c r="F50" s="18">
        <v>46317.5</v>
      </c>
      <c r="G50" s="15" t="s">
        <v>15</v>
      </c>
    </row>
    <row r="51" ht="42" customHeight="1">
      <c r="A51" s="14" t="s">
        <v>74</v>
      </c>
      <c r="B51" s="15" t="s">
        <v>18</v>
      </c>
      <c r="C51" s="16" t="s">
        <v>77</v>
      </c>
      <c r="D51" s="17">
        <v>0.5</v>
      </c>
      <c r="E51" s="15" t="s">
        <v>14</v>
      </c>
      <c r="F51" s="18">
        <v>46317.5</v>
      </c>
      <c r="G51" s="15" t="s">
        <v>15</v>
      </c>
    </row>
    <row r="52" ht="42" customHeight="1">
      <c r="A52" s="20" t="s">
        <v>78</v>
      </c>
      <c r="B52" s="21" t="s">
        <v>12</v>
      </c>
      <c r="C52" s="22" t="s">
        <v>79</v>
      </c>
      <c r="D52" s="23">
        <v>1.5</v>
      </c>
      <c r="E52" s="21" t="s">
        <v>14</v>
      </c>
      <c r="F52" s="24">
        <v>46318.5</v>
      </c>
      <c r="G52" s="21" t="s">
        <v>15</v>
      </c>
    </row>
    <row r="53" ht="42" customHeight="1">
      <c r="A53" s="20" t="s">
        <v>78</v>
      </c>
      <c r="B53" s="21" t="s">
        <v>16</v>
      </c>
      <c r="C53" s="22" t="s">
        <v>80</v>
      </c>
      <c r="D53" s="23">
        <v>1</v>
      </c>
      <c r="E53" s="21" t="s">
        <v>14</v>
      </c>
      <c r="F53" s="24">
        <v>46318.5</v>
      </c>
      <c r="G53" s="21" t="s">
        <v>15</v>
      </c>
    </row>
    <row r="54" ht="42" customHeight="1">
      <c r="A54" s="20" t="s">
        <v>78</v>
      </c>
      <c r="B54" s="21" t="s">
        <v>18</v>
      </c>
      <c r="C54" s="22" t="s">
        <v>81</v>
      </c>
      <c r="D54" s="23">
        <v>0.5</v>
      </c>
      <c r="E54" s="21" t="s">
        <v>14</v>
      </c>
      <c r="F54" s="24">
        <v>46318.5</v>
      </c>
      <c r="G54" s="21" t="s">
        <v>15</v>
      </c>
    </row>
    <row r="55" ht="42" customHeight="1">
      <c r="A55" s="14" t="s">
        <v>82</v>
      </c>
      <c r="B55" s="15" t="s">
        <v>12</v>
      </c>
      <c r="C55" s="16" t="s">
        <v>83</v>
      </c>
      <c r="D55" s="17">
        <v>1</v>
      </c>
      <c r="E55" s="15" t="s">
        <v>14</v>
      </c>
      <c r="F55" s="18">
        <v>46319.5</v>
      </c>
      <c r="G55" s="15" t="s">
        <v>15</v>
      </c>
    </row>
    <row r="56" ht="42" customHeight="1">
      <c r="A56" s="14" t="s">
        <v>82</v>
      </c>
      <c r="B56" s="15" t="s">
        <v>16</v>
      </c>
      <c r="C56" s="16" t="s">
        <v>84</v>
      </c>
      <c r="D56" s="17">
        <v>1.5</v>
      </c>
      <c r="E56" s="15" t="s">
        <v>14</v>
      </c>
      <c r="F56" s="18">
        <v>46319.5</v>
      </c>
      <c r="G56" s="15" t="s">
        <v>15</v>
      </c>
    </row>
    <row r="57" ht="42" customHeight="1">
      <c r="A57" s="14" t="s">
        <v>82</v>
      </c>
      <c r="B57" s="15" t="s">
        <v>18</v>
      </c>
      <c r="C57" s="16" t="s">
        <v>85</v>
      </c>
      <c r="D57" s="17">
        <v>1</v>
      </c>
      <c r="E57" s="15" t="s">
        <v>14</v>
      </c>
      <c r="F57" s="18">
        <v>46319.5</v>
      </c>
      <c r="G57" s="15" t="s">
        <v>15</v>
      </c>
    </row>
    <row r="58" ht="42" customHeight="1">
      <c r="A58" s="14" t="s">
        <v>82</v>
      </c>
      <c r="B58" s="15" t="s">
        <v>20</v>
      </c>
      <c r="C58" s="16" t="s">
        <v>86</v>
      </c>
      <c r="D58" s="17">
        <v>0.5</v>
      </c>
      <c r="E58" s="15" t="s">
        <v>14</v>
      </c>
      <c r="F58" s="18">
        <v>46319.5</v>
      </c>
      <c r="G58" s="15" t="s">
        <v>15</v>
      </c>
    </row>
    <row r="59" ht="42" customHeight="1">
      <c r="A59" s="20" t="s">
        <v>87</v>
      </c>
      <c r="B59" s="21" t="s">
        <v>12</v>
      </c>
      <c r="C59" s="22" t="s">
        <v>88</v>
      </c>
      <c r="D59" s="23">
        <v>1</v>
      </c>
      <c r="E59" s="21" t="s">
        <v>14</v>
      </c>
      <c r="F59" s="24">
        <v>46319.5</v>
      </c>
      <c r="G59" s="21" t="s">
        <v>15</v>
      </c>
    </row>
    <row r="60" ht="42" customHeight="1">
      <c r="A60" s="20" t="s">
        <v>87</v>
      </c>
      <c r="B60" s="21" t="s">
        <v>16</v>
      </c>
      <c r="C60" s="22" t="s">
        <v>89</v>
      </c>
      <c r="D60" s="23">
        <v>1</v>
      </c>
      <c r="E60" s="21" t="s">
        <v>14</v>
      </c>
      <c r="F60" s="24">
        <v>46319.5</v>
      </c>
      <c r="G60" s="21" t="s">
        <v>15</v>
      </c>
    </row>
    <row r="61" ht="42" customHeight="1">
      <c r="A61" s="20" t="s">
        <v>87</v>
      </c>
      <c r="B61" s="21" t="s">
        <v>18</v>
      </c>
      <c r="C61" s="22" t="s">
        <v>90</v>
      </c>
      <c r="D61" s="23">
        <v>1</v>
      </c>
      <c r="E61" s="21" t="s">
        <v>14</v>
      </c>
      <c r="F61" s="24">
        <v>46319.5</v>
      </c>
      <c r="G61" s="21" t="s">
        <v>15</v>
      </c>
    </row>
    <row r="62" ht="42" customHeight="1">
      <c r="A62" s="20" t="s">
        <v>87</v>
      </c>
      <c r="B62" s="21" t="s">
        <v>20</v>
      </c>
      <c r="C62" s="22" t="s">
        <v>91</v>
      </c>
      <c r="D62" s="23">
        <v>1.5</v>
      </c>
      <c r="E62" s="21" t="s">
        <v>14</v>
      </c>
      <c r="F62" s="24">
        <v>46319.5</v>
      </c>
      <c r="G62" s="21" t="s">
        <v>15</v>
      </c>
    </row>
    <row r="63" ht="42" customHeight="1">
      <c r="A63" s="20" t="s">
        <v>87</v>
      </c>
      <c r="B63" s="21" t="s">
        <v>34</v>
      </c>
      <c r="C63" s="22" t="s">
        <v>92</v>
      </c>
      <c r="D63" s="23">
        <v>0.5</v>
      </c>
      <c r="E63" s="21" t="s">
        <v>14</v>
      </c>
      <c r="F63" s="24">
        <v>46319.5</v>
      </c>
      <c r="G63" s="21" t="s">
        <v>15</v>
      </c>
    </row>
    <row r="64" ht="42" customHeight="1">
      <c r="A64" s="20" t="s">
        <v>87</v>
      </c>
      <c r="B64" s="21" t="s">
        <v>93</v>
      </c>
      <c r="C64" s="22" t="s">
        <v>94</v>
      </c>
      <c r="D64" s="23">
        <v>1.5</v>
      </c>
      <c r="E64" s="21" t="s">
        <v>14</v>
      </c>
      <c r="F64" s="24">
        <v>46322.5</v>
      </c>
      <c r="G64" s="21" t="s">
        <v>15</v>
      </c>
    </row>
    <row r="65" ht="42" customHeight="1">
      <c r="A65" s="20" t="s">
        <v>87</v>
      </c>
      <c r="B65" s="21" t="s">
        <v>95</v>
      </c>
      <c r="C65" s="22" t="s">
        <v>96</v>
      </c>
      <c r="D65" s="23">
        <v>1.5</v>
      </c>
      <c r="E65" s="21" t="s">
        <v>14</v>
      </c>
      <c r="F65" s="24">
        <v>46322.5</v>
      </c>
      <c r="G65" s="21" t="s">
        <v>15</v>
      </c>
    </row>
    <row r="66" ht="42" customHeight="1">
      <c r="A66" s="14" t="s">
        <v>97</v>
      </c>
      <c r="B66" s="15" t="s">
        <v>12</v>
      </c>
      <c r="C66" s="16" t="s">
        <v>98</v>
      </c>
      <c r="D66" s="17">
        <v>1</v>
      </c>
      <c r="E66" s="15" t="s">
        <v>38</v>
      </c>
      <c r="F66" s="18">
        <v>46321.5</v>
      </c>
      <c r="G66" s="15" t="s">
        <v>99</v>
      </c>
    </row>
    <row r="67" ht="42" customHeight="1">
      <c r="A67" s="14" t="s">
        <v>97</v>
      </c>
      <c r="B67" s="15" t="s">
        <v>16</v>
      </c>
      <c r="C67" s="16" t="s">
        <v>98</v>
      </c>
      <c r="D67" s="17">
        <v>1</v>
      </c>
      <c r="E67" s="15" t="s">
        <v>30</v>
      </c>
      <c r="F67" s="18">
        <v>46321.5</v>
      </c>
      <c r="G67" s="15" t="s">
        <v>99</v>
      </c>
    </row>
    <row r="68" ht="42" customHeight="1">
      <c r="A68" s="14" t="s">
        <v>97</v>
      </c>
      <c r="B68" s="15" t="s">
        <v>18</v>
      </c>
      <c r="C68" s="16" t="s">
        <v>98</v>
      </c>
      <c r="D68" s="17">
        <v>1</v>
      </c>
      <c r="E68" s="15" t="s">
        <v>14</v>
      </c>
      <c r="F68" s="18">
        <v>46321.5</v>
      </c>
      <c r="G68" s="15" t="s">
        <v>99</v>
      </c>
    </row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  <row r="121" ht="27" customHeight="1"/>
    <row r="122" ht="27" customHeight="1"/>
    <row r="123" ht="27" customHeight="1"/>
    <row r="124" ht="27" customHeight="1"/>
    <row r="125" ht="27" customHeight="1"/>
    <row r="126" ht="27" customHeight="1"/>
    <row r="127" ht="27" customHeight="1"/>
    <row r="128" ht="27" customHeight="1"/>
    <row r="129" ht="27" customHeight="1"/>
    <row r="130" ht="27" customHeight="1"/>
    <row r="131" ht="27" customHeight="1"/>
    <row r="132" ht="27" customHeight="1"/>
    <row r="133" ht="27" customHeight="1"/>
    <row r="134" ht="27" customHeight="1"/>
    <row r="135" ht="27" customHeight="1"/>
    <row r="136" ht="27" customHeight="1"/>
    <row r="137" ht="27" customHeight="1"/>
    <row r="138" ht="27" customHeight="1"/>
    <row r="139" ht="27" customHeight="1"/>
    <row r="140" ht="27" customHeight="1"/>
    <row r="141" ht="27" customHeight="1"/>
    <row r="142" ht="27" customHeight="1"/>
    <row r="143" ht="27" customHeight="1"/>
    <row r="144" ht="27" customHeight="1"/>
    <row r="145" ht="27" customHeight="1"/>
    <row r="146" ht="27" customHeight="1"/>
    <row r="147" ht="27" customHeight="1"/>
    <row r="148" ht="27" customHeight="1"/>
    <row r="149" ht="27" customHeight="1"/>
    <row r="150" ht="27" customHeight="1"/>
    <row r="151" ht="27" customHeight="1"/>
    <row r="152" ht="27" customHeight="1"/>
    <row r="153" ht="27" customHeight="1"/>
    <row r="154" ht="27" customHeight="1"/>
    <row r="155" ht="27" customHeight="1"/>
    <row r="156" ht="27" customHeight="1"/>
    <row r="157" ht="27" customHeight="1"/>
    <row r="158" ht="27" customHeight="1"/>
    <row r="159" ht="27" customHeight="1"/>
    <row r="160" ht="34" customHeight="1"/>
    <row r="161" ht="27" customHeight="1"/>
    <row r="162" ht="27" customHeight="1"/>
    <row r="163" ht="27" customHeight="1"/>
    <row r="164" ht="27" customHeight="1"/>
    <row r="165" ht="27" customHeight="1"/>
    <row r="166" ht="27" customHeight="1"/>
    <row r="167" ht="27" customHeight="1"/>
    <row r="168" ht="27" customHeight="1"/>
    <row r="169" ht="27" customHeight="1"/>
    <row r="170" ht="27" customHeight="1"/>
    <row r="171" ht="27" customHeight="1"/>
    <row r="172" ht="27" customHeight="1"/>
    <row r="173" ht="27" customHeight="1"/>
    <row r="174" ht="27" customHeight="1"/>
    <row r="175" ht="27" customHeight="1"/>
    <row r="176" ht="27" customHeight="1"/>
    <row r="177" ht="27" customHeight="1"/>
    <row r="178" ht="27" customHeight="1"/>
    <row r="179" ht="27" customHeight="1"/>
    <row r="180" ht="27" customHeight="1"/>
    <row r="181" ht="27" customHeight="1"/>
    <row r="182" ht="27" customHeight="1"/>
    <row r="183" ht="27" customHeight="1"/>
    <row r="184" ht="27" customHeight="1"/>
    <row r="185" ht="27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G1"/>
    <mergeCell ref="A2:G2"/>
    <mergeCell ref="A3:G3"/>
    <mergeCell ref="A4:C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1" topLeftCell="A2" activePane="bottomLeft" state="frozen"/>
      <selection activeCell="F18" activeCellId="0" sqref="F18"/>
    </sheetView>
  </sheetViews>
  <sheetFormatPr defaultRowHeight="15"/>
  <cols>
    <col customWidth="1" min="1" max="1" width="58"/>
    <col customWidth="1" min="2" max="2" width="25"/>
    <col customWidth="1" min="3" max="3" width="16"/>
    <col customWidth="1" min="4" max="4" width="15"/>
    <col customWidth="1" min="5" max="5" width="17"/>
    <col customWidth="1" min="6" max="6" width="37"/>
    <col customWidth="1" min="7" max="7" width="3"/>
    <col customWidth="1" min="8" max="8" width="40"/>
  </cols>
  <sheetData>
    <row r="1" ht="35" customHeight="1">
      <c r="A1" s="25" t="s">
        <v>100</v>
      </c>
      <c r="B1" s="25" t="s">
        <v>8</v>
      </c>
      <c r="C1" s="25" t="s">
        <v>10</v>
      </c>
      <c r="D1" s="25" t="s">
        <v>7</v>
      </c>
      <c r="E1" s="25" t="s">
        <v>9</v>
      </c>
      <c r="F1" s="25" t="s">
        <v>101</v>
      </c>
      <c r="H1" s="26"/>
    </row>
    <row r="2" ht="54" customHeight="1">
      <c r="A2" s="27" t="s">
        <v>102</v>
      </c>
      <c r="B2" s="27" t="s">
        <v>14</v>
      </c>
      <c r="C2" s="21" t="s">
        <v>15</v>
      </c>
      <c r="D2" s="23">
        <f>SUM('Product_Backlog_tareas'!D7:D10)</f>
        <v>8</v>
      </c>
      <c r="E2" s="24">
        <v>46315.5</v>
      </c>
      <c r="F2" s="28" t="s">
        <v>103</v>
      </c>
    </row>
    <row r="3" ht="54" customHeight="1">
      <c r="A3" s="29" t="s">
        <v>104</v>
      </c>
      <c r="B3" s="29" t="s">
        <v>14</v>
      </c>
      <c r="C3" s="30" t="s">
        <v>15</v>
      </c>
      <c r="D3" s="31">
        <f>SUM('Product_Backlog_tareas'!D11:D12)</f>
        <v>1.5</v>
      </c>
      <c r="E3" s="32">
        <v>46315.5</v>
      </c>
      <c r="F3" s="33" t="s">
        <v>105</v>
      </c>
    </row>
    <row r="4" ht="54" customHeight="1">
      <c r="A4" s="27" t="s">
        <v>106</v>
      </c>
      <c r="B4" s="27" t="s">
        <v>14</v>
      </c>
      <c r="C4" s="21" t="s">
        <v>15</v>
      </c>
      <c r="D4" s="23">
        <f>SUM('Product_Backlog_tareas'!D13:D14)</f>
        <v>1</v>
      </c>
      <c r="E4" s="24">
        <v>46315.5</v>
      </c>
      <c r="F4" s="28" t="s">
        <v>107</v>
      </c>
    </row>
    <row r="5" ht="54" customHeight="1">
      <c r="A5" s="29" t="s">
        <v>108</v>
      </c>
      <c r="B5" s="29" t="s">
        <v>30</v>
      </c>
      <c r="C5" s="30" t="s">
        <v>15</v>
      </c>
      <c r="D5" s="31">
        <f>SUM('Product_Backlog_tareas'!D15:D19)</f>
        <v>9</v>
      </c>
      <c r="E5" s="32">
        <v>46320.5</v>
      </c>
      <c r="F5" s="33" t="s">
        <v>109</v>
      </c>
    </row>
    <row r="6" ht="54" customHeight="1">
      <c r="A6" s="27" t="s">
        <v>110</v>
      </c>
      <c r="B6" s="27" t="s">
        <v>38</v>
      </c>
      <c r="C6" s="21" t="s">
        <v>15</v>
      </c>
      <c r="D6" s="23">
        <f>SUM('Product_Backlog_tareas'!D20:D22)</f>
        <v>5</v>
      </c>
      <c r="E6" s="24">
        <v>46317.5</v>
      </c>
      <c r="F6" s="28" t="s">
        <v>111</v>
      </c>
    </row>
    <row r="7" ht="54" customHeight="1">
      <c r="A7" s="29" t="s">
        <v>112</v>
      </c>
      <c r="B7" s="29" t="s">
        <v>30</v>
      </c>
      <c r="C7" s="30" t="s">
        <v>15</v>
      </c>
      <c r="D7" s="31">
        <f>SUM('Product_Backlog_tareas'!D23:D26)</f>
        <v>5</v>
      </c>
      <c r="E7" s="32">
        <v>46317.5</v>
      </c>
      <c r="F7" s="33" t="s">
        <v>113</v>
      </c>
    </row>
    <row r="8" ht="54" customHeight="1">
      <c r="A8" s="27" t="s">
        <v>114</v>
      </c>
      <c r="B8" s="27" t="s">
        <v>38</v>
      </c>
      <c r="C8" s="21" t="s">
        <v>15</v>
      </c>
      <c r="D8" s="23">
        <f>SUM('Product_Backlog_tareas'!D27:D29)</f>
        <v>3</v>
      </c>
      <c r="E8" s="24">
        <v>46317.5</v>
      </c>
      <c r="F8" s="28" t="s">
        <v>115</v>
      </c>
    </row>
    <row r="9" ht="54" customHeight="1">
      <c r="A9" s="29" t="s">
        <v>116</v>
      </c>
      <c r="B9" s="29" t="s">
        <v>38</v>
      </c>
      <c r="C9" s="30" t="s">
        <v>15</v>
      </c>
      <c r="D9" s="31">
        <f>SUM('Product_Backlog_tareas'!D30:D32)</f>
        <v>5</v>
      </c>
      <c r="E9" s="32">
        <v>46316.5</v>
      </c>
      <c r="F9" s="33" t="s">
        <v>117</v>
      </c>
    </row>
    <row r="10" ht="54" customHeight="1">
      <c r="A10" s="27" t="s">
        <v>118</v>
      </c>
      <c r="B10" s="27" t="s">
        <v>14</v>
      </c>
      <c r="C10" s="21" t="s">
        <v>15</v>
      </c>
      <c r="D10" s="23">
        <f>SUM('Product_Backlog_tareas'!D33:D37)</f>
        <v>6</v>
      </c>
      <c r="E10" s="24">
        <v>46318.5</v>
      </c>
      <c r="F10" s="28" t="s">
        <v>119</v>
      </c>
    </row>
    <row r="11" ht="54" customHeight="1">
      <c r="A11" s="29" t="s">
        <v>120</v>
      </c>
      <c r="B11" s="29" t="s">
        <v>14</v>
      </c>
      <c r="C11" s="30" t="s">
        <v>15</v>
      </c>
      <c r="D11" s="31">
        <f>SUM('Product_Backlog_tareas'!D38:D40)</f>
        <v>2</v>
      </c>
      <c r="E11" s="32">
        <v>46317.5</v>
      </c>
      <c r="F11" s="33" t="s">
        <v>121</v>
      </c>
    </row>
    <row r="12" ht="54" customHeight="1">
      <c r="A12" s="27" t="s">
        <v>122</v>
      </c>
      <c r="B12" s="27" t="s">
        <v>38</v>
      </c>
      <c r="C12" s="21" t="s">
        <v>15</v>
      </c>
      <c r="D12" s="23">
        <f>SUM('Product_Backlog_tareas'!D41:D44)</f>
        <v>5</v>
      </c>
      <c r="E12" s="24">
        <v>46318.5</v>
      </c>
      <c r="F12" s="28" t="s">
        <v>123</v>
      </c>
    </row>
    <row r="13" ht="54" customHeight="1">
      <c r="A13" s="29" t="s">
        <v>124</v>
      </c>
      <c r="B13" s="29" t="s">
        <v>14</v>
      </c>
      <c r="C13" s="30" t="s">
        <v>15</v>
      </c>
      <c r="D13" s="31">
        <f>SUM('Product_Backlog_tareas'!D45:D48)</f>
        <v>4</v>
      </c>
      <c r="E13" s="32">
        <v>46318.5</v>
      </c>
      <c r="F13" s="33" t="s">
        <v>125</v>
      </c>
    </row>
    <row r="14" ht="54" customHeight="1">
      <c r="A14" s="27" t="s">
        <v>126</v>
      </c>
      <c r="B14" s="27" t="s">
        <v>14</v>
      </c>
      <c r="C14" s="21" t="s">
        <v>15</v>
      </c>
      <c r="D14" s="23">
        <f>SUM('Product_Backlog_tareas'!D49:D51)</f>
        <v>3</v>
      </c>
      <c r="E14" s="24">
        <v>46317.5</v>
      </c>
      <c r="F14" s="28" t="s">
        <v>127</v>
      </c>
    </row>
    <row r="15" ht="54" customHeight="1">
      <c r="A15" s="29" t="s">
        <v>128</v>
      </c>
      <c r="B15" s="29" t="s">
        <v>14</v>
      </c>
      <c r="C15" s="30" t="s">
        <v>15</v>
      </c>
      <c r="D15" s="31">
        <f>SUM('Product_Backlog_tareas'!D52:D54)</f>
        <v>3</v>
      </c>
      <c r="E15" s="32">
        <v>46318.5</v>
      </c>
      <c r="F15" s="33" t="s">
        <v>129</v>
      </c>
    </row>
    <row r="16" ht="54" customHeight="1">
      <c r="A16" s="27" t="s">
        <v>130</v>
      </c>
      <c r="B16" s="27" t="s">
        <v>14</v>
      </c>
      <c r="C16" s="21" t="s">
        <v>15</v>
      </c>
      <c r="D16" s="23">
        <f>SUM('Product_Backlog_tareas'!D55:D58)</f>
        <v>4</v>
      </c>
      <c r="E16" s="24">
        <v>46319.5</v>
      </c>
      <c r="F16" s="28" t="s">
        <v>131</v>
      </c>
    </row>
    <row r="17" ht="54" customHeight="1">
      <c r="A17" s="29" t="s">
        <v>132</v>
      </c>
      <c r="B17" s="29" t="s">
        <v>14</v>
      </c>
      <c r="C17" s="30" t="s">
        <v>15</v>
      </c>
      <c r="D17" s="31">
        <f>SUM('Product_Backlog_tareas'!D59:D65)</f>
        <v>8</v>
      </c>
      <c r="E17" s="32">
        <v>46322.5</v>
      </c>
      <c r="F17" s="33" t="s">
        <v>133</v>
      </c>
    </row>
    <row r="18" ht="54" customHeight="1">
      <c r="A18" s="27" t="s">
        <v>134</v>
      </c>
      <c r="B18" s="27" t="s">
        <v>135</v>
      </c>
      <c r="C18" s="21" t="s">
        <v>99</v>
      </c>
      <c r="D18" s="23">
        <f>SUM('Product_Backlog_tareas'!D66:D68)</f>
        <v>3</v>
      </c>
      <c r="E18" s="24">
        <v>46321.5</v>
      </c>
      <c r="F18" s="28" t="s">
        <v>136</v>
      </c>
    </row>
    <row r="21">
      <c r="A21" s="3" t="s">
        <v>137</v>
      </c>
      <c r="B21" s="3"/>
      <c r="C21" s="3"/>
      <c r="D21" s="3"/>
    </row>
    <row r="22" ht="30" customHeight="1">
      <c r="A22" s="34" t="s">
        <v>138</v>
      </c>
      <c r="B22" s="25" t="s">
        <v>139</v>
      </c>
      <c r="C22" s="25" t="s">
        <v>97</v>
      </c>
      <c r="D22" s="25" t="s">
        <v>140</v>
      </c>
    </row>
    <row r="23" ht="30" customHeight="1">
      <c r="A23" s="35" t="s">
        <v>38</v>
      </c>
      <c r="B23" s="36">
        <f>SUMIFS('Product_Backlog_tareas'!D7:D68,'Product_Backlog_tareas'!E7:E68,A23,'Product_Backlog_tareas'!A7:A68,"&lt;&gt;Retrospectiva")</f>
        <v>18</v>
      </c>
      <c r="C23" s="36">
        <f>SUMIFS('Product_Backlog_tareas'!D7:D68,'Product_Backlog_tareas'!E7:E68,A23,'Product_Backlog_tareas'!A7:A68,"Retrospectiva")</f>
        <v>1</v>
      </c>
      <c r="D23" s="36">
        <f t="shared" ref="D23:D25" si="0">SUM(B23:C23)</f>
        <v>19</v>
      </c>
    </row>
    <row r="24" ht="30" customHeight="1">
      <c r="A24" s="35" t="s">
        <v>30</v>
      </c>
      <c r="B24" s="36">
        <f>SUMIFS('Product_Backlog_tareas'!D7:D68,'Product_Backlog_tareas'!E7:E68,A24,'Product_Backlog_tareas'!A7:A68,"&lt;&gt;Retrospectiva")</f>
        <v>14</v>
      </c>
      <c r="C24" s="36">
        <f>SUMIFS('Product_Backlog_tareas'!D7:D68,'Product_Backlog_tareas'!E7:E68,A24,'Product_Backlog_tareas'!A7:A68,"Retrospectiva")</f>
        <v>1</v>
      </c>
      <c r="D24" s="36">
        <f t="shared" si="0"/>
        <v>15</v>
      </c>
    </row>
    <row r="25" ht="30" customHeight="1">
      <c r="A25" s="35" t="s">
        <v>14</v>
      </c>
      <c r="B25" s="36">
        <f>SUMIFS('Product_Backlog_tareas'!D7:D68,'Product_Backlog_tareas'!E7:E68,A25,'Product_Backlog_tareas'!A7:A68,"&lt;&gt;Retrospectiva")</f>
        <v>40.5</v>
      </c>
      <c r="C25" s="36">
        <f>SUMIFS('Product_Backlog_tareas'!D7:D68,'Product_Backlog_tareas'!E7:E68,A25,'Product_Backlog_tareas'!A7:A68,"Retrospectiva")</f>
        <v>1</v>
      </c>
      <c r="D25" s="36">
        <f t="shared" si="0"/>
        <v>41.5</v>
      </c>
    </row>
    <row r="26" ht="30" customHeight="1">
      <c r="A26" s="37" t="s">
        <v>140</v>
      </c>
      <c r="B26" s="38">
        <f>SUM(B23:B25)</f>
        <v>72.5</v>
      </c>
      <c r="C26" s="38">
        <f>SUM(C23:C25)</f>
        <v>3</v>
      </c>
      <c r="D26" s="38">
        <f>SUM(D23:D25)</f>
        <v>75.5</v>
      </c>
    </row>
    <row r="28" ht="22" customHeight="1">
      <c r="A28" s="5" t="s">
        <v>141</v>
      </c>
      <c r="B28" s="5"/>
      <c r="C28" s="5"/>
      <c r="D28" s="5"/>
      <c r="E28" s="5"/>
      <c r="F28" s="5"/>
    </row>
    <row r="29" ht="22" customHeight="1">
      <c r="A29" s="5" t="s">
        <v>142</v>
      </c>
      <c r="B29" s="5"/>
      <c r="C29" s="5"/>
      <c r="D29" s="5"/>
      <c r="E29" s="5"/>
      <c r="F29" s="5"/>
    </row>
  </sheetData>
  <mergeCells count="3">
    <mergeCell ref="A21:D21"/>
    <mergeCell ref="A28:F28"/>
    <mergeCell ref="A29:F29"/>
  </mergeCell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