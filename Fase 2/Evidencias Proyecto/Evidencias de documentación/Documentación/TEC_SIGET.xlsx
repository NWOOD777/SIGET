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f5a5b23984c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TEC" sheetId="1" r:id="R79827851d10d4e6a"/>
    <x:sheet xmlns:r="http://schemas.openxmlformats.org/officeDocument/2006/relationships" name="HH por Integrante" sheetId="2" r:id="R697553eb9ced435f"/>
    <x:sheet xmlns:r="http://schemas.openxmlformats.org/officeDocument/2006/relationships" name="Esfuerzo por Fase" sheetId="3" r:id="R04ea879d63694977"/>
    <x:sheet xmlns:r="http://schemas.openxmlformats.org/officeDocument/2006/relationships" name="Costos y Presupuesto" sheetId="4" r:id="R1bb93a117da34ebc"/>
    <x:sheet xmlns:r="http://schemas.openxmlformats.org/officeDocument/2006/relationships" name="Seguimiento por Sprint" sheetId="5" r:id="R2dfaa83c969a4efb"/>
    <x:sheet xmlns:r="http://schemas.openxmlformats.org/officeDocument/2006/relationships" name="Supuestos" sheetId="6" r:id="R8f537c77294646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"/>
    <x:numFmt numFmtId="201" formatCode="0 &quot;HH&quot;"/>
    <x:numFmt numFmtId="202" formatCode="0%"/>
    <x:numFmt numFmtId="203" formatCode="0.0%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2" fillId="6" borderId="0" xfId="0" applyNumberFormat="1" applyFont="1" applyFill="1" applyBorder="1"/>
    <x:xf numFmtId="200" fontId="0" fillId="6" borderId="0" xfId="0" applyNumberFormat="1" applyFont="1" applyFill="1" applyBorder="1"/>
    <x:xf numFmtId="200" fontId="2" fillId="6" borderId="0" xfId="0" applyNumberFormat="1" applyFont="1" applyFill="1" applyBorder="1"/>
    <x:xf numFmtId="0" fontId="2" fillId="6" borderId="1" xfId="0" applyNumberFormat="1" applyFont="1" applyFill="1" applyBorder="1"/>
    <x:xf numFmtId="200" fontId="0" fillId="6" borderId="1" xfId="0" applyNumberFormat="1" applyFont="1" applyFill="1" applyBorder="1"/>
    <x:xf numFmtId="200" fontId="2" fillId="6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201" fontId="2" fillId="6" borderId="0" xfId="0" applyNumberFormat="1" applyFont="1" applyFill="1" applyBorder="1"/>
    <x:xf numFmtId="201" fontId="2" fillId="6" borderId="1" xfId="0" applyNumberFormat="1" applyFont="1" applyFill="1" applyBorder="1"/>
    <x:xf numFmtId="203" fontId="0" fillId="0" borderId="0" xfId="0" applyNumberFormat="1" applyFont="1" applyFill="1" applyBorder="1"/>
    <x:xf numFmtId="203" fontId="2" fillId="6" borderId="0" xfId="0" applyNumberFormat="1" applyFont="1" applyFill="1" applyBorder="1"/>
    <x:xf numFmtId="203" fontId="0" fillId="0" borderId="1" xfId="0" applyNumberFormat="1" applyFont="1" applyFill="1" applyBorder="1"/>
    <x:xf numFmtId="203" fontId="2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200" fontId="0" fillId="7" borderId="0" xfId="0" applyNumberFormat="1" applyFont="1" applyFill="1" applyBorder="1"/>
    <x:xf numFmtId="200" fontId="2" fillId="3" borderId="0" xfId="0" applyNumberFormat="1" applyFont="1" applyFill="1" applyBorder="1"/>
    <x:xf numFmtId="200" fontId="0" fillId="8" borderId="0" xfId="0" applyNumberFormat="1" applyFont="1" applyFill="1" applyBorder="1"/>
    <x:xf numFmtId="200" fontId="0" fillId="7" borderId="1" xfId="0" applyNumberFormat="1" applyFont="1" applyFill="1" applyBorder="1"/>
    <x:xf numFmtId="200" fontId="2" fillId="3" borderId="1" xfId="0" applyNumberFormat="1" applyFont="1" applyFill="1" applyBorder="1"/>
    <x:xf numFmtId="200" fontId="0" fillId="8" borderId="1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200" fontId="2" fillId="6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wrapText="1"/>
    </x:xf>
    <x:xf numFmtId="200" fontId="2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200" fontId="2" fillId="6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2" fontId="0" fillId="0" borderId="1" xfId="0" applyNumberFormat="1" applyFont="1" applyFill="1" applyBorder="1" applyAlignment="1">
      <x:alignment vertical="center" wrapText="1"/>
    </x:xf>
    <x:xf numFmtId="0" fontId="2" fillId="6" borderId="1" xfId="0" applyNumberFormat="1" applyFont="1" applyFill="1" applyBorder="1" applyAlignment="1">
      <x:alignment vertical="center" wrapText="1"/>
    </x:xf>
    <x:xf numFmtId="200" fontId="2" fillId="6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wrapText="1"/>
    </x:xf>
    <x:xf numFmtId="201" fontId="2" fillId="6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wrapText="1"/>
    </x:xf>
    <x:xf numFmtId="201" fontId="2" fillId="6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1" fontId="2" fillId="6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1" fontId="2" fillId="6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6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3" fontId="2" fillId="6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vertical="center" wrapText="1"/>
    </x:xf>
    <x:xf numFmtId="203" fontId="2" fillId="6" borderId="0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 wrapText="1"/>
    </x:xf>
    <x:xf numFmtId="203" fontId="2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200" fontId="2" fillId="3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wrapText="1"/>
    </x:xf>
    <x:xf numFmtId="200" fontId="2" fillId="3" borderId="1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200" fontId="0" fillId="8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200" fontId="0" fillId="7" borderId="0" xfId="0" applyNumberFormat="1" applyFont="1" applyFill="1" applyBorder="1" applyAlignment="1">
      <x:alignment vertical="center" wrapText="1"/>
    </x:xf>
    <x:xf numFmtId="200" fontId="2" fillId="3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200" fontId="0" fillId="7" borderId="1" xfId="0" applyNumberFormat="1" applyFont="1" applyFill="1" applyBorder="1" applyAlignment="1">
      <x:alignment vertical="center" wrapText="1"/>
    </x:xf>
    <x:xf numFmtId="200" fontId="2" fillId="3" borderId="1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200" fontId="0" fillId="8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1" fontId="0" fillId="0" borderId="6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0" fontId="2" fillId="6" borderId="8" xfId="0" applyNumberFormat="1" applyFont="1" applyFill="1" applyBorder="1" applyAlignment="1">
      <x:alignment vertical="center" wrapText="1"/>
    </x:xf>
    <x:xf numFmtId="0" fontId="2" fillId="6" borderId="9" xfId="0" applyNumberFormat="1" applyFont="1" applyFill="1" applyBorder="1" applyAlignment="1">
      <x:alignment vertical="center" wrapText="1"/>
    </x:xf>
    <x:xf numFmtId="201" fontId="2" fillId="6" borderId="9" xfId="0" applyNumberFormat="1" applyFont="1" applyFill="1" applyBorder="1" applyAlignment="1">
      <x:alignment vertical="center" wrapText="1"/>
    </x:xf>
    <x:xf numFmtId="200" fontId="2" fillId="6" borderId="9" xfId="0" applyNumberFormat="1" applyFont="1" applyFill="1" applyBorder="1" applyAlignment="1">
      <x:alignment vertical="center" wrapText="1"/>
    </x:xf>
    <x:xf numFmtId="200" fontId="2" fillId="6" borderId="10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0" fontId="0" fillId="0" borderId="15" xfId="0" applyNumberFormat="1" applyFont="1" applyFill="1" applyBorder="1" applyAlignment="1">
      <x:alignment vertical="center" wrapText="1"/>
    </x:xf>
    <x:xf numFmtId="200" fontId="0" fillId="0" borderId="16" xfId="0" applyNumberFormat="1" applyFont="1" applyFill="1" applyBorder="1" applyAlignment="1">
      <x:alignment vertical="center" wrapText="1"/>
    </x:xf>
    <x:xf numFmtId="0" fontId="2" fillId="6" borderId="17" xfId="0" applyNumberFormat="1" applyFont="1" applyFill="1" applyBorder="1" applyAlignment="1">
      <x:alignment vertical="center" wrapText="1"/>
    </x:xf>
    <x:xf numFmtId="0" fontId="2" fillId="6" borderId="18" xfId="0" applyNumberFormat="1" applyFont="1" applyFill="1" applyBorder="1" applyAlignment="1">
      <x:alignment vertical="center" wrapText="1"/>
    </x:xf>
    <x:xf numFmtId="201" fontId="2" fillId="6" borderId="18" xfId="0" applyNumberFormat="1" applyFont="1" applyFill="1" applyBorder="1" applyAlignment="1">
      <x:alignment vertical="center" wrapText="1"/>
    </x:xf>
    <x:xf numFmtId="200" fontId="2" fillId="6" borderId="18" xfId="0" applyNumberFormat="1" applyFont="1" applyFill="1" applyBorder="1" applyAlignment="1">
      <x:alignment vertical="center" wrapText="1"/>
    </x:xf>
    <x:xf numFmtId="200" fontId="2" fillId="6" borderId="19" xfId="0" applyNumberFormat="1" applyFont="1" applyFill="1" applyBorder="1" applyAlignment="1">
      <x:alignment vertical="center" wrapText="1"/>
    </x:xf>
    <x:xf numFmtId="203" fontId="0" fillId="0" borderId="7" xfId="0" applyNumberFormat="1" applyFont="1" applyFill="1" applyBorder="1" applyAlignment="1">
      <x:alignment vertical="center" wrapText="1"/>
    </x:xf>
    <x:xf numFmtId="203" fontId="2" fillId="6" borderId="10" xfId="0" applyNumberFormat="1" applyFont="1" applyFill="1" applyBorder="1" applyAlignment="1">
      <x:alignment vertical="center" wrapText="1"/>
    </x:xf>
    <x:xf numFmtId="203" fontId="0" fillId="0" borderId="16" xfId="0" applyNumberFormat="1" applyFont="1" applyFill="1" applyBorder="1" applyAlignment="1">
      <x:alignment vertical="center" wrapText="1"/>
    </x:xf>
    <x:xf numFmtId="203" fontId="2" fillId="6" borderId="19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7" borderId="5" xfId="0" applyNumberFormat="1" applyFont="1" applyFill="1" applyBorder="1" applyAlignment="1">
      <x:alignment vertical="center" wrapText="1"/>
    </x:xf>
    <x:xf numFmtId="0" fontId="0" fillId="7" borderId="6" xfId="0" applyNumberFormat="1" applyFont="1" applyFill="1" applyBorder="1" applyAlignment="1">
      <x:alignment vertical="center" wrapText="1"/>
    </x:xf>
    <x:xf numFmtId="200" fontId="0" fillId="7" borderId="6" xfId="0" applyNumberFormat="1" applyFont="1" applyFill="1" applyBorder="1" applyAlignment="1">
      <x:alignment vertical="center" wrapText="1"/>
    </x:xf>
    <x:xf numFmtId="0" fontId="0" fillId="7" borderId="7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200" fontId="2" fillId="3" borderId="6" xfId="0" applyNumberFormat="1" applyFont="1" applyFill="1" applyBorder="1" applyAlignment="1">
      <x:alignment vertical="center" wrapText="1"/>
    </x:xf>
    <x:xf numFmtId="0" fontId="2" fillId="3" borderId="7" xfId="0" applyNumberFormat="1" applyFont="1" applyFill="1" applyBorder="1" applyAlignment="1">
      <x:alignment vertical="center" wrapText="1"/>
    </x:xf>
    <x:xf numFmtId="0" fontId="0" fillId="8" borderId="5" xfId="0" applyNumberFormat="1" applyFont="1" applyFill="1" applyBorder="1" applyAlignment="1">
      <x:alignment vertical="center" wrapText="1"/>
    </x:xf>
    <x:xf numFmtId="0" fontId="0" fillId="8" borderId="6" xfId="0" applyNumberFormat="1" applyFont="1" applyFill="1" applyBorder="1" applyAlignment="1">
      <x:alignment vertical="center" wrapText="1"/>
    </x:xf>
    <x:xf numFmtId="200" fontId="0" fillId="8" borderId="6" xfId="0" applyNumberFormat="1" applyFont="1" applyFill="1" applyBorder="1" applyAlignment="1">
      <x:alignment vertical="center" wrapText="1"/>
    </x:xf>
    <x:xf numFmtId="0" fontId="0" fillId="8" borderId="7" xfId="0" applyNumberFormat="1" applyFont="1" applyFill="1" applyBorder="1" applyAlignment="1">
      <x:alignment vertical="center" wrapText="1"/>
    </x:xf>
    <x:xf numFmtId="0" fontId="2" fillId="6" borderId="10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7" borderId="14" xfId="0" applyNumberFormat="1" applyFont="1" applyFill="1" applyBorder="1" applyAlignment="1">
      <x:alignment vertical="center" wrapText="1"/>
    </x:xf>
    <x:xf numFmtId="0" fontId="0" fillId="7" borderId="15" xfId="0" applyNumberFormat="1" applyFont="1" applyFill="1" applyBorder="1" applyAlignment="1">
      <x:alignment vertical="center" wrapText="1"/>
    </x:xf>
    <x:xf numFmtId="200" fontId="0" fillId="7" borderId="15" xfId="0" applyNumberFormat="1" applyFont="1" applyFill="1" applyBorder="1" applyAlignment="1">
      <x:alignment vertical="center" wrapText="1"/>
    </x:xf>
    <x:xf numFmtId="0" fontId="0" fillId="7" borderId="16" xfId="0" applyNumberFormat="1" applyFont="1" applyFill="1" applyBorder="1" applyAlignment="1">
      <x:alignment vertical="center" wrapText="1"/>
    </x:xf>
    <x:xf numFmtId="0" fontId="2" fillId="3" borderId="14" xfId="0" applyNumberFormat="1" applyFont="1" applyFill="1" applyBorder="1" applyAlignment="1">
      <x:alignment vertical="center" wrapText="1"/>
    </x:xf>
    <x:xf numFmtId="0" fontId="2" fillId="3" borderId="15" xfId="0" applyNumberFormat="1" applyFont="1" applyFill="1" applyBorder="1" applyAlignment="1">
      <x:alignment vertical="center" wrapText="1"/>
    </x:xf>
    <x:xf numFmtId="200" fontId="2" fillId="3" borderId="15" xfId="0" applyNumberFormat="1" applyFont="1" applyFill="1" applyBorder="1" applyAlignment="1">
      <x:alignment vertical="center" wrapText="1"/>
    </x:xf>
    <x:xf numFmtId="0" fontId="2" fillId="3" borderId="16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0" fillId="8" borderId="15" xfId="0" applyNumberFormat="1" applyFont="1" applyFill="1" applyBorder="1" applyAlignment="1">
      <x:alignment vertical="center" wrapText="1"/>
    </x:xf>
    <x:xf numFmtId="200" fontId="0" fillId="8" borderId="1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2" fillId="6" borderId="19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 applyAlignment="1">
      <x:alignment vertical="center" wrapText="1"/>
    </x:xf>
    <x:xf numFmtId="0" fontId="3" fillId="4" borderId="12" xfId="0" applyNumberFormat="1" applyFont="1" applyFill="1" applyBorder="1" applyAlignment="1">
      <x:alignment vertical="center" wrapText="1"/>
    </x:xf>
    <x:xf numFmtId="0" fontId="3" fillId="4" borderId="13" xfId="0" applyNumberFormat="1" applyFont="1" applyFill="1" applyBorder="1" applyAlignment="1">
      <x:alignment vertical="center" wrapText="1"/>
    </x:xf>
    <x:xf numFmtId="0" fontId="2" fillId="0" borderId="14" xfId="0" applyNumberFormat="1" applyFont="1" applyFill="1" applyBorder="1" applyAlignment="1">
      <x:alignment vertical="center" wrapText="1"/>
    </x:xf>
    <x:xf numFmtId="0" fontId="2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7" xfId="0" applyNumberFormat="1" applyFont="1" applyFill="1" applyBorder="1" applyAlignment="1">
      <x:alignment vertical="center" wrapText="1"/>
    </x:xf>
    <x:xf numFmtId="0" fontId="2" fillId="3" borderId="8" xfId="0" applyNumberFormat="1" applyFont="1" applyFill="1" applyBorder="1" applyAlignment="1">
      <x:alignment vertical="center" wrapText="1"/>
    </x:xf>
    <x:xf numFmtId="200" fontId="0" fillId="0" borderId="10" xfId="0" applyNumberFormat="1" applyFont="1" applyFill="1" applyBorder="1" applyAlignment="1">
      <x:alignment vertical="center" wrapText="1"/>
    </x:xf>
    <x:xf numFmtId="0" fontId="2" fillId="3" borderId="11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201" fontId="0" fillId="0" borderId="16" xfId="0" applyNumberFormat="1" applyFont="1" applyFill="1" applyBorder="1" applyAlignment="1">
      <x:alignment vertical="center" wrapText="1"/>
    </x:xf>
    <x:xf numFmtId="0" fontId="2" fillId="3" borderId="17" xfId="0" applyNumberFormat="1" applyFont="1" applyFill="1" applyBorder="1" applyAlignment="1">
      <x:alignment vertical="center" wrapText="1"/>
    </x:xf>
    <x:xf numFmtId="200" fontId="0" fillId="0" borderId="19" xfId="0" applyNumberFormat="1" applyFont="1" applyFill="1" applyBorder="1" applyAlignment="1">
      <x:alignment vertical="center" wrapText="1"/>
    </x:xf>
    <x:xf numFmtId="0" fontId="2" fillId="5" borderId="5" xfId="0" applyNumberFormat="1" applyFont="1" applyFill="1" applyBorder="1" applyAlignment="1">
      <x:alignment vertical="center" wrapText="1"/>
    </x:xf>
    <x:xf numFmtId="202" fontId="0" fillId="0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93bb6e7a9a4ca1" /><Relationship Type="http://schemas.openxmlformats.org/officeDocument/2006/relationships/theme" Target="/xl/theme/theme1.xml" Id="R7805dc28a0074b67" /><Relationship Type="http://schemas.openxmlformats.org/officeDocument/2006/relationships/sharedStrings" Target="/xl/sharedStrings.xml" Id="R91c86b9500194dd7" /><Relationship Type="http://schemas.openxmlformats.org/officeDocument/2006/relationships/worksheet" Target="/xl/worksheets/sheet1.xml" Id="R79827851d10d4e6a" /><Relationship Type="http://schemas.openxmlformats.org/officeDocument/2006/relationships/worksheet" Target="/xl/worksheets/sheet2.xml" Id="R697553eb9ced435f" /><Relationship Type="http://schemas.openxmlformats.org/officeDocument/2006/relationships/worksheet" Target="/xl/worksheets/sheet3.xml" Id="R04ea879d63694977" /><Relationship Type="http://schemas.openxmlformats.org/officeDocument/2006/relationships/worksheet" Target="/xl/worksheets/sheet4.xml" Id="R1bb93a117da34ebc" /><Relationship Type="http://schemas.openxmlformats.org/officeDocument/2006/relationships/worksheet" Target="/xl/worksheets/sheet5.xml" Id="R2dfaa83c969a4efb" /><Relationship Type="http://schemas.openxmlformats.org/officeDocument/2006/relationships/worksheet" Target="/xl/worksheets/sheet6.xml" Id="R8f537c77294646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2" hidden="0" customWidth="1"/>
    <x:col min="3" max="3" width="18" hidden="0" customWidth="1"/>
    <x:col min="4" max="4" width="24" hidden="0" customWidth="1"/>
    <x:col min="5" max="5" width="20" hidden="0" customWidth="1"/>
    <x:col min="6" max="6" width="16" hidden="0" customWidth="1"/>
  </x:cols>
  <x:sheetData>
    <x:row r="1" ht="30" customHeight="1">
      <x:c r="A1" s="68" t="str">
        <x:v>SIGET — Planilla de Tiempo, Esfuerzo y Costo (TEC)</x:v>
      </x:c>
      <x:c r="B1" s="68"/>
      <x:c r="C1" s="68"/>
      <x:c r="D1" s="68"/>
      <x:c r="E1" s="68"/>
      <x:c r="F1" s="68"/>
      <x:c r="G1" s="86"/>
      <x:c r="H1" s="86"/>
    </x:row>
    <x:row r="2">
      <x:c r="A2" s="86"/>
      <x:c r="B2" s="86"/>
      <x:c r="C2" s="86"/>
      <x:c r="D2" s="86"/>
      <x:c r="E2" s="86"/>
      <x:c r="F2" s="86"/>
      <x:c r="G2" s="86"/>
      <x:c r="H2" s="86"/>
    </x:row>
    <x:row r="3">
      <x:c r="A3" s="222" t="str">
        <x:v>Proyecto</x:v>
      </x:c>
      <x:c r="B3" s="223" t="str">
        <x:v>SIGET — Sistema Integral de Gestión de Equipos y Soporte Tecnológico</x:v>
      </x:c>
      <x:c r="C3" s="86"/>
      <x:c r="D3" s="208" t="str">
        <x:v>Resumen presupuestario</x:v>
      </x:c>
      <x:c r="E3" s="210" t="str">
        <x:v>CLP</x:v>
      </x:c>
      <x:c r="F3" s="86"/>
      <x:c r="G3" s="86"/>
      <x:c r="H3" s="86"/>
    </x:row>
    <x:row r="4">
      <x:c r="A4" s="185" t="str">
        <x:v>Duración</x:v>
      </x:c>
      <x:c r="B4" s="180" t="str">
        <x:v>18 semanas / 9 Sprints</x:v>
      </x:c>
      <x:c r="C4" s="86"/>
      <x:c r="D4" s="232" t="str">
        <x:v>Costos planificados identificados</x:v>
      </x:c>
      <x:c r="E4" s="157" t="n">
        <x:f>'Costos y Presupuesto'!C9</x:f>
        <x:v>14700000</x:v>
      </x:c>
      <x:c r="F4" s="86"/>
      <x:c r="G4" s="86"/>
      <x:c r="H4" s="86"/>
    </x:row>
    <x:row r="5">
      <x:c r="A5" s="185" t="str">
        <x:v>Equipo</x:v>
      </x:c>
      <x:c r="B5" s="180" t="str">
        <x:v>Joaquín Riquelme · Diego Alcaíno · Ignacio Troncoso</x:v>
      </x:c>
      <x:c r="C5" s="86"/>
      <x:c r="D5" s="232" t="str">
        <x:v>Saldo no asignado presupuesto base</x:v>
      </x:c>
      <x:c r="E5" s="157" t="n">
        <x:f>E6-E4</x:f>
        <x:v>1300000</x:v>
      </x:c>
      <x:c r="F5" s="86"/>
      <x:c r="G5" s="86"/>
      <x:c r="H5" s="86"/>
    </x:row>
    <x:row r="6">
      <x:c r="A6" s="185" t="str">
        <x:v>HH planificadas</x:v>
      </x:c>
      <x:c r="B6" s="224" t="n">
        <x:v>900</x:v>
      </x:c>
      <x:c r="C6" s="86"/>
      <x:c r="D6" s="232" t="str">
        <x:v>Presupuesto base</x:v>
      </x:c>
      <x:c r="E6" s="157" t="n">
        <x:v>16000000</x:v>
      </x:c>
      <x:c r="F6" s="86"/>
      <x:c r="G6" s="86"/>
      <x:c r="H6" s="86"/>
    </x:row>
    <x:row r="7">
      <x:c r="A7" s="185" t="str">
        <x:v>Tarifa referencial</x:v>
      </x:c>
      <x:c r="B7" s="157" t="n">
        <x:v>15000</x:v>
      </x:c>
      <x:c r="C7" s="86"/>
      <x:c r="D7" s="232" t="str">
        <x:v>Contingencia adicional</x:v>
      </x:c>
      <x:c r="E7" s="233" t="n">
        <x:v>0.1</x:v>
      </x:c>
      <x:c r="F7" s="86"/>
      <x:c r="G7" s="86"/>
      <x:c r="H7" s="86"/>
    </x:row>
    <x:row r="8">
      <x:c r="A8" s="225" t="str">
        <x:v>Costo HH</x:v>
      </x:c>
      <x:c r="B8" s="226" t="n">
        <x:f>B6*B7</x:f>
        <x:v>13500000</x:v>
      </x:c>
      <x:c r="C8" s="86"/>
      <x:c r="D8" s="232" t="str">
        <x:v>Reserva de contingencia</x:v>
      </x:c>
      <x:c r="E8" s="157" t="n">
        <x:f>E6*E7</x:f>
        <x:v>1600000</x:v>
      </x:c>
      <x:c r="F8" s="86"/>
      <x:c r="G8" s="86"/>
      <x:c r="H8" s="86"/>
    </x:row>
    <x:row r="9">
      <x:c r="A9" s="86"/>
      <x:c r="B9" s="86"/>
      <x:c r="C9" s="86"/>
      <x:c r="D9" s="158" t="str">
        <x:v>Máximo con contingencia</x:v>
      </x:c>
      <x:c r="E9" s="162" t="n">
        <x:f>E6+E8</x:f>
        <x:v>17600000</x:v>
      </x:c>
      <x:c r="F9" s="86"/>
      <x:c r="G9" s="86"/>
      <x:c r="H9" s="86"/>
    </x:row>
    <x:row r="10">
      <x:c r="A10" s="86"/>
      <x:c r="B10" s="86"/>
      <x:c r="C10" s="86"/>
      <x:c r="D10" s="86"/>
      <x:c r="E10" s="86"/>
      <x:c r="F10" s="86"/>
      <x:c r="G10" s="86"/>
      <x:c r="H10" s="86"/>
    </x:row>
    <x:row r="11">
      <x:c r="A11" s="88" t="str">
        <x:v>Criterio TEC aplicado</x:v>
      </x:c>
      <x:c r="B11" s="88"/>
      <x:c r="C11" s="88"/>
      <x:c r="D11" s="88"/>
      <x:c r="E11" s="88"/>
      <x:c r="F11" s="88"/>
      <x:c r="G11" s="86"/>
      <x:c r="H11" s="86"/>
    </x:row>
    <x:row r="12">
      <x:c r="A12" s="86" t="str">
        <x:v>La planilla separa tiempo, esfuerzo (HH) y costo. Las 900 HH corresponden a 300 HH por integrante durante 18 semanas (≈16,7 HH/semana por integrante). La tarifa de $15.000 CLP/HH es referencial. El presupuesto base de $16.000.000 CLP se mantiene separado de una contingencia adicional del 10% ($1.600.000), por lo que el máximo con contingencia es $17.600.000 CLP.</x:v>
      </x:c>
      <x:c r="B12" s="86"/>
      <x:c r="C12" s="86"/>
      <x:c r="D12" s="86"/>
      <x:c r="E12" s="86"/>
      <x:c r="F12" s="86"/>
      <x:c r="G12" s="86"/>
      <x:c r="H12" s="86"/>
    </x:row>
    <x:row r="13">
      <x:c r="A13" s="86"/>
      <x:c r="B13" s="86"/>
      <x:c r="C13" s="86"/>
      <x:c r="D13" s="86"/>
      <x:c r="E13" s="86"/>
      <x:c r="F13" s="86"/>
      <x:c r="G13" s="86"/>
      <x:c r="H13" s="86"/>
    </x:row>
    <x:row r="14">
      <x:c r="A14" s="86"/>
      <x:c r="B14" s="86"/>
      <x:c r="C14" s="86"/>
      <x:c r="D14" s="86"/>
      <x:c r="E14" s="86"/>
      <x:c r="F14" s="86"/>
      <x:c r="G14" s="86"/>
      <x:c r="H14" s="86"/>
    </x:row>
    <x:row r="15">
      <x:c r="A15" s="86"/>
      <x:c r="B15" s="86"/>
      <x:c r="C15" s="86"/>
      <x:c r="D15" s="86"/>
      <x:c r="E15" s="86"/>
      <x:c r="F15" s="86"/>
      <x:c r="G15" s="86"/>
      <x:c r="H15" s="86"/>
    </x:row>
    <x:row r="16">
      <x:c r="A16" s="86"/>
      <x:c r="B16" s="86"/>
      <x:c r="C16" s="86"/>
      <x:c r="D16" s="86"/>
      <x:c r="E16" s="86"/>
      <x:c r="F16" s="86"/>
      <x:c r="G16" s="86"/>
      <x:c r="H16" s="86"/>
    </x:row>
    <x:row r="17">
      <x:c r="A17" s="86"/>
      <x:c r="B17" s="86"/>
      <x:c r="C17" s="86"/>
      <x:c r="D17" s="86"/>
      <x:c r="E17" s="86"/>
      <x:c r="F17" s="86"/>
      <x:c r="G17" s="86"/>
      <x:c r="H17" s="86"/>
    </x:row>
    <x:row r="18">
      <x:c r="A18" s="86"/>
      <x:c r="B18" s="86"/>
      <x:c r="C18" s="86"/>
      <x:c r="D18" s="86"/>
      <x:c r="E18" s="86"/>
      <x:c r="F18" s="86"/>
      <x:c r="G18" s="86"/>
      <x:c r="H18" s="86"/>
    </x:row>
    <x:row r="19">
      <x:c r="A19" s="86"/>
      <x:c r="B19" s="86"/>
      <x:c r="C19" s="86"/>
      <x:c r="D19" s="86"/>
      <x:c r="E19" s="86"/>
      <x:c r="F19" s="86"/>
      <x:c r="G19" s="86"/>
      <x:c r="H19" s="86"/>
    </x:row>
    <x:row r="20">
      <x:c r="A20" s="86"/>
      <x:c r="B20" s="86"/>
      <x:c r="C20" s="86"/>
      <x:c r="D20" s="86"/>
      <x:c r="E20" s="86"/>
      <x:c r="F20" s="86"/>
      <x:c r="G20" s="86"/>
      <x:c r="H20" s="86"/>
    </x:row>
    <x:row r="21">
      <x:c r="A21" s="86"/>
      <x:c r="B21" s="86"/>
      <x:c r="C21" s="86"/>
      <x:c r="D21" s="86"/>
      <x:c r="E21" s="86"/>
      <x:c r="F21" s="86"/>
      <x:c r="G21" s="86"/>
      <x:c r="H21" s="86"/>
    </x:row>
    <x:row r="22">
      <x:c r="A22" s="86"/>
      <x:c r="B22" s="86"/>
      <x:c r="C22" s="86"/>
      <x:c r="D22" s="86"/>
      <x:c r="E22" s="86"/>
      <x:c r="F22" s="86"/>
      <x:c r="G22" s="86"/>
      <x:c r="H22" s="86"/>
    </x:row>
    <x:row r="23">
      <x:c r="A23" s="86"/>
      <x:c r="B23" s="86"/>
      <x:c r="C23" s="86"/>
      <x:c r="D23" s="86"/>
      <x:c r="E23" s="86"/>
      <x:c r="F23" s="86"/>
      <x:c r="G23" s="86"/>
      <x:c r="H23" s="86"/>
    </x:row>
    <x:row r="24">
      <x:c r="A24" s="86"/>
      <x:c r="B24" s="86"/>
      <x:c r="C24" s="86"/>
      <x:c r="D24" s="86"/>
      <x:c r="E24" s="86"/>
      <x:c r="F24" s="86"/>
      <x:c r="G24" s="86"/>
      <x:c r="H24" s="86"/>
    </x:row>
    <x:row r="25">
      <x:c r="A25" s="86"/>
      <x:c r="B25" s="86"/>
      <x:c r="C25" s="86"/>
      <x:c r="D25" s="86"/>
      <x:c r="E25" s="86"/>
      <x:c r="F25" s="86"/>
      <x:c r="G25" s="86"/>
      <x:c r="H25" s="86"/>
    </x:row>
    <x:row r="26">
      <x:c r="A26" s="86"/>
      <x:c r="B26" s="86"/>
      <x:c r="C26" s="86"/>
      <x:c r="D26" s="86"/>
      <x:c r="E26" s="86"/>
      <x:c r="F26" s="86"/>
      <x:c r="G26" s="86"/>
      <x:c r="H26" s="86"/>
    </x:row>
    <x:row r="27">
      <x:c r="A27" s="86"/>
      <x:c r="B27" s="86"/>
      <x:c r="C27" s="86"/>
      <x:c r="D27" s="86"/>
      <x:c r="E27" s="86"/>
      <x:c r="F27" s="86"/>
      <x:c r="G27" s="86"/>
      <x:c r="H27" s="86"/>
    </x:row>
    <x:row r="28">
      <x:c r="A28" s="86"/>
      <x:c r="B28" s="86"/>
      <x:c r="C28" s="86"/>
      <x:c r="D28" s="86"/>
      <x:c r="E28" s="86"/>
      <x:c r="F28" s="86"/>
      <x:c r="G28" s="86"/>
      <x:c r="H28" s="86"/>
    </x:row>
    <x:row r="29">
      <x:c r="A29" s="86"/>
      <x:c r="B29" s="86"/>
      <x:c r="C29" s="86"/>
      <x:c r="D29" s="86"/>
      <x:c r="E29" s="86"/>
      <x:c r="F29" s="86"/>
      <x:c r="G29" s="86"/>
      <x:c r="H29" s="86"/>
    </x:row>
    <x:row r="30">
      <x:c r="A30" s="86"/>
      <x:c r="B30" s="86"/>
      <x:c r="C30" s="86"/>
      <x:c r="D30" s="86"/>
      <x:c r="E30" s="86"/>
      <x:c r="F30" s="86"/>
      <x:c r="G30" s="86"/>
      <x:c r="H30" s="86"/>
    </x:row>
  </x:sheetData>
  <x:mergeCells>
    <x:mergeCell ref="A1:F1"/>
    <x:mergeCell ref="A11:F11"/>
    <x:mergeCell ref="A12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6" hidden="0" customWidth="1"/>
    <x:col min="3" max="3" width="16" hidden="0" customWidth="1"/>
    <x:col min="4" max="4" width="18" hidden="0" customWidth="1"/>
    <x:col min="5" max="5" width="18" hidden="0" customWidth="1"/>
  </x:cols>
  <x:sheetData>
    <x:row r="1">
      <x:c r="A1" s="110" t="str">
        <x:v>Estimación de Horas-Hombre por integrante</x:v>
      </x:c>
      <x:c r="B1" s="110"/>
      <x:c r="C1" s="110"/>
      <x:c r="D1" s="110"/>
      <x:c r="E1" s="110"/>
      <x:c r="F1" s="86"/>
      <x:c r="G1" s="86"/>
      <x:c r="H1" s="86"/>
    </x:row>
    <x:row r="2">
      <x:c r="A2" s="86"/>
      <x:c r="B2" s="86"/>
      <x:c r="C2" s="86"/>
      <x:c r="D2" s="86"/>
      <x:c r="E2" s="86"/>
      <x:c r="F2" s="86"/>
      <x:c r="G2" s="86"/>
      <x:c r="H2" s="86"/>
    </x:row>
    <x:row r="3">
      <x:c r="A3" s="150" t="str">
        <x:v>Integrante</x:v>
      </x:c>
      <x:c r="B3" s="151" t="str">
        <x:v>Rol principal en SIGET</x:v>
      </x:c>
      <x:c r="C3" s="151" t="str">
        <x:v>HH estimadas</x:v>
      </x:c>
      <x:c r="D3" s="151" t="str">
        <x:v>Tarifa CLP/HH</x:v>
      </x:c>
      <x:c r="E3" s="152" t="str">
        <x:v>Costo estimado</x:v>
      </x:c>
      <x:c r="F3" s="86"/>
      <x:c r="G3" s="86"/>
      <x:c r="H3" s="86"/>
    </x:row>
    <x:row r="4">
      <x:c r="A4" s="153" t="str">
        <x:v>Joaquín Riquelme</x:v>
      </x:c>
      <x:c r="B4" s="154" t="str">
        <x:v>Product Owner / Gerente de Proyecto / Desarrollador</x:v>
      </x:c>
      <x:c r="C4" s="155" t="n">
        <x:v>300</x:v>
      </x:c>
      <x:c r="D4" s="156" t="n">
        <x:v>15000</x:v>
      </x:c>
      <x:c r="E4" s="157" t="n">
        <x:f>C4*D4</x:f>
        <x:v>4500000</x:v>
      </x:c>
      <x:c r="F4" s="86"/>
      <x:c r="G4" s="86"/>
      <x:c r="H4" s="86"/>
    </x:row>
    <x:row r="5">
      <x:c r="A5" s="153" t="str">
        <x:v>Diego Alcaíno</x:v>
      </x:c>
      <x:c r="B5" s="154" t="str">
        <x:v>Scrum Master / Frontend / UX / Documentación</x:v>
      </x:c>
      <x:c r="C5" s="155" t="n">
        <x:v>300</x:v>
      </x:c>
      <x:c r="D5" s="156" t="n">
        <x:v>15000</x:v>
      </x:c>
      <x:c r="E5" s="157" t="n">
        <x:f>C5*D5</x:f>
        <x:v>4500000</x:v>
      </x:c>
      <x:c r="F5" s="86"/>
      <x:c r="G5" s="86"/>
      <x:c r="H5" s="86"/>
    </x:row>
    <x:row r="6">
      <x:c r="A6" s="153" t="str">
        <x:v>Ignacio Troncoso</x:v>
      </x:c>
      <x:c r="B6" s="154" t="str">
        <x:v>Developer / Web / PySide6 / Docker</x:v>
      </x:c>
      <x:c r="C6" s="155" t="n">
        <x:v>300</x:v>
      </x:c>
      <x:c r="D6" s="156" t="n">
        <x:v>15000</x:v>
      </x:c>
      <x:c r="E6" s="157" t="n">
        <x:f>C6*D6</x:f>
        <x:v>4500000</x:v>
      </x:c>
      <x:c r="F6" s="86"/>
      <x:c r="G6" s="86"/>
      <x:c r="H6" s="86"/>
    </x:row>
    <x:row r="7">
      <x:c r="A7" s="158" t="str">
        <x:v>TOTAL</x:v>
      </x:c>
      <x:c r="B7" s="159" t="str"/>
      <x:c r="C7" s="160" t="n">
        <x:f>SUM(C4:C6)</x:f>
        <x:v>900</x:v>
      </x:c>
      <x:c r="D7" s="161" t="str"/>
      <x:c r="E7" s="162" t="n">
        <x:f>SUM(E4:E6)</x:f>
        <x:v>13500000</x:v>
      </x:c>
      <x:c r="F7" s="86"/>
      <x:c r="G7" s="86"/>
      <x:c r="H7" s="86"/>
    </x:row>
    <x:row r="8">
      <x:c r="A8" s="86"/>
      <x:c r="B8" s="86"/>
      <x:c r="C8" s="86"/>
      <x:c r="D8" s="86"/>
      <x:c r="E8" s="86"/>
      <x:c r="F8" s="86"/>
      <x:c r="G8" s="86"/>
      <x:c r="H8" s="86"/>
    </x:row>
    <x:row r="9">
      <x:c r="A9" s="86"/>
      <x:c r="B9" s="86"/>
      <x:c r="C9" s="86"/>
      <x:c r="D9" s="86"/>
      <x:c r="E9" s="86"/>
      <x:c r="F9" s="86"/>
      <x:c r="G9" s="86"/>
      <x:c r="H9" s="86"/>
    </x:row>
    <x:row r="10">
      <x:c r="A10" s="86"/>
      <x:c r="B10" s="86"/>
      <x:c r="C10" s="86"/>
      <x:c r="D10" s="86"/>
      <x:c r="E10" s="86"/>
      <x:c r="F10" s="86"/>
      <x:c r="G10" s="86"/>
      <x:c r="H10" s="86"/>
    </x:row>
    <x:row r="11">
      <x:c r="A11" s="86"/>
      <x:c r="B11" s="86"/>
      <x:c r="C11" s="86"/>
      <x:c r="D11" s="86"/>
      <x:c r="E11" s="86"/>
      <x:c r="F11" s="86"/>
      <x:c r="G11" s="86"/>
      <x:c r="H11" s="86"/>
    </x:row>
    <x:row r="12">
      <x:c r="A12" s="86"/>
      <x:c r="B12" s="86"/>
      <x:c r="C12" s="86"/>
      <x:c r="D12" s="86"/>
      <x:c r="E12" s="86"/>
      <x:c r="F12" s="86"/>
      <x:c r="G12" s="86"/>
      <x:c r="H12" s="86"/>
    </x:row>
    <x:row r="13">
      <x:c r="A13" s="86"/>
      <x:c r="B13" s="86"/>
      <x:c r="C13" s="86"/>
      <x:c r="D13" s="86"/>
      <x:c r="E13" s="86"/>
      <x:c r="F13" s="86"/>
      <x:c r="G13" s="86"/>
      <x:c r="H13" s="86"/>
    </x:row>
    <x:row r="14">
      <x:c r="A14" s="86"/>
      <x:c r="B14" s="86"/>
      <x:c r="C14" s="86"/>
      <x:c r="D14" s="86"/>
      <x:c r="E14" s="86"/>
      <x:c r="F14" s="86"/>
      <x:c r="G14" s="86"/>
      <x:c r="H14" s="86"/>
    </x:row>
    <x:row r="15">
      <x:c r="A15" s="86"/>
      <x:c r="B15" s="86"/>
      <x:c r="C15" s="86"/>
      <x:c r="D15" s="86"/>
      <x:c r="E15" s="86"/>
      <x:c r="F15" s="86"/>
      <x:c r="G15" s="86"/>
      <x:c r="H15" s="86"/>
    </x:row>
    <x:row r="16">
      <x:c r="A16" s="86"/>
      <x:c r="B16" s="86"/>
      <x:c r="C16" s="86"/>
      <x:c r="D16" s="86"/>
      <x:c r="E16" s="86"/>
      <x:c r="F16" s="86"/>
      <x:c r="G16" s="86"/>
      <x:c r="H16" s="86"/>
    </x:row>
    <x:row r="17">
      <x:c r="A17" s="86"/>
      <x:c r="B17" s="86"/>
      <x:c r="C17" s="86"/>
      <x:c r="D17" s="86"/>
      <x:c r="E17" s="86"/>
      <x:c r="F17" s="86"/>
      <x:c r="G17" s="86"/>
      <x:c r="H17" s="86"/>
    </x:row>
    <x:row r="18">
      <x:c r="A18" s="86"/>
      <x:c r="B18" s="86"/>
      <x:c r="C18" s="86"/>
      <x:c r="D18" s="86"/>
      <x:c r="E18" s="86"/>
      <x:c r="F18" s="86"/>
      <x:c r="G18" s="86"/>
      <x:c r="H18" s="86"/>
    </x:row>
    <x:row r="19">
      <x:c r="A19" s="86"/>
      <x:c r="B19" s="86"/>
      <x:c r="C19" s="86"/>
      <x:c r="D19" s="86"/>
      <x:c r="E19" s="86"/>
      <x:c r="F19" s="86"/>
      <x:c r="G19" s="86"/>
      <x:c r="H19" s="86"/>
    </x:row>
    <x:row r="20">
      <x:c r="A20" s="86"/>
      <x:c r="B20" s="86"/>
      <x:c r="C20" s="86"/>
      <x:c r="D20" s="86"/>
      <x:c r="E20" s="86"/>
      <x:c r="F20" s="86"/>
      <x:c r="G20" s="86"/>
      <x:c r="H20" s="86"/>
    </x:row>
    <x:row r="21">
      <x:c r="A21" s="86"/>
      <x:c r="B21" s="86"/>
      <x:c r="C21" s="86"/>
      <x:c r="D21" s="86"/>
      <x:c r="E21" s="86"/>
      <x:c r="F21" s="86"/>
      <x:c r="G21" s="86"/>
      <x:c r="H21" s="86"/>
    </x:row>
    <x:row r="22">
      <x:c r="A22" s="86"/>
      <x:c r="B22" s="86"/>
      <x:c r="C22" s="86"/>
      <x:c r="D22" s="86"/>
      <x:c r="E22" s="86"/>
      <x:c r="F22" s="86"/>
      <x:c r="G22" s="86"/>
      <x:c r="H22" s="86"/>
    </x:row>
    <x:row r="23">
      <x:c r="A23" s="86"/>
      <x:c r="B23" s="86"/>
      <x:c r="C23" s="86"/>
      <x:c r="D23" s="86"/>
      <x:c r="E23" s="86"/>
      <x:c r="F23" s="86"/>
      <x:c r="G23" s="86"/>
      <x:c r="H23" s="86"/>
    </x:row>
    <x:row r="24">
      <x:c r="A24" s="86"/>
      <x:c r="B24" s="86"/>
      <x:c r="C24" s="86"/>
      <x:c r="D24" s="86"/>
      <x:c r="E24" s="86"/>
      <x:c r="F24" s="86"/>
      <x:c r="G24" s="86"/>
      <x:c r="H24" s="86"/>
    </x:row>
    <x:row r="25">
      <x:c r="A25" s="86"/>
      <x:c r="B25" s="86"/>
      <x:c r="C25" s="86"/>
      <x:c r="D25" s="86"/>
      <x:c r="E25" s="86"/>
      <x:c r="F25" s="86"/>
      <x:c r="G25" s="86"/>
      <x:c r="H25" s="86"/>
    </x:row>
    <x:row r="26">
      <x:c r="A26" s="86"/>
      <x:c r="B26" s="86"/>
      <x:c r="C26" s="86"/>
      <x:c r="D26" s="86"/>
      <x:c r="E26" s="86"/>
      <x:c r="F26" s="86"/>
      <x:c r="G26" s="86"/>
      <x:c r="H26" s="86"/>
    </x:row>
    <x:row r="27">
      <x:c r="A27" s="86"/>
      <x:c r="B27" s="86"/>
      <x:c r="C27" s="86"/>
      <x:c r="D27" s="86"/>
      <x:c r="E27" s="86"/>
      <x:c r="F27" s="86"/>
      <x:c r="G27" s="86"/>
      <x:c r="H27" s="86"/>
    </x:row>
    <x:row r="28">
      <x:c r="A28" s="86"/>
      <x:c r="B28" s="86"/>
      <x:c r="C28" s="86"/>
      <x:c r="D28" s="86"/>
      <x:c r="E28" s="86"/>
      <x:c r="F28" s="86"/>
      <x:c r="G28" s="86"/>
      <x:c r="H28" s="86"/>
    </x:row>
    <x:row r="29">
      <x:c r="A29" s="86"/>
      <x:c r="B29" s="86"/>
      <x:c r="C29" s="86"/>
      <x:c r="D29" s="86"/>
      <x:c r="E29" s="86"/>
      <x:c r="F29" s="86"/>
      <x:c r="G29" s="86"/>
      <x:c r="H29" s="86"/>
    </x:row>
    <x:row r="30">
      <x:c r="A30" s="86"/>
      <x:c r="B30" s="86"/>
      <x:c r="C30" s="86"/>
      <x:c r="D30" s="86"/>
      <x:c r="E30" s="86"/>
      <x:c r="F30" s="86"/>
      <x:c r="G30" s="86"/>
      <x:c r="H30" s="86"/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0" t="str">
        <x:v>Distribución inicial del esfuerzo TEC — SIGET</x:v>
      </x:c>
      <x:c r="B1" s="110"/>
      <x:c r="C1" s="110"/>
      <x:c r="D1" s="110"/>
      <x:c r="E1" s="110"/>
      <x:c r="F1" s="110"/>
      <x:c r="G1" s="86"/>
      <x:c r="H1" s="86"/>
    </x:row>
    <x:row r="2">
      <x:c r="A2" s="86"/>
      <x:c r="B2" s="86"/>
      <x:c r="C2" s="86"/>
      <x:c r="D2" s="86"/>
      <x:c r="E2" s="86"/>
      <x:c r="F2" s="86"/>
      <x:c r="G2" s="86"/>
      <x:c r="H2" s="86"/>
    </x:row>
    <x:row r="3">
      <x:c r="A3" s="150" t="str">
        <x:v>Fase / actividad</x:v>
      </x:c>
      <x:c r="B3" s="151" t="str">
        <x:v>Joaquín HH</x:v>
      </x:c>
      <x:c r="C3" s="151" t="str">
        <x:v>Diego HH</x:v>
      </x:c>
      <x:c r="D3" s="151" t="str">
        <x:v>Ignacio HH</x:v>
      </x:c>
      <x:c r="E3" s="151" t="str">
        <x:v>Total HH</x:v>
      </x:c>
      <x:c r="F3" s="152" t="str">
        <x:v>% esfuerzo</x:v>
      </x:c>
      <x:c r="G3" s="86"/>
      <x:c r="H3" s="86"/>
    </x:row>
    <x:row r="4">
      <x:c r="A4" s="153" t="str">
        <x:v>Requerimientos y planificación</x:v>
      </x:c>
      <x:c r="B4" s="155" t="n">
        <x:v>35</x:v>
      </x:c>
      <x:c r="C4" s="155" t="n">
        <x:v>35</x:v>
      </x:c>
      <x:c r="D4" s="155" t="n">
        <x:v>20</x:v>
      </x:c>
      <x:c r="E4" s="155" t="n">
        <x:f>SUM(B4:D4)</x:f>
        <x:v>90</x:v>
      </x:c>
      <x:c r="F4" s="176" t="n">
        <x:f>E4/$E$12</x:f>
        <x:v>0.1</x:v>
      </x:c>
      <x:c r="G4" s="86"/>
      <x:c r="H4" s="86"/>
    </x:row>
    <x:row r="5">
      <x:c r="A5" s="153" t="str">
        <x:v>Arquitectura y diseño</x:v>
      </x:c>
      <x:c r="B5" s="155" t="n">
        <x:v>45</x:v>
      </x:c>
      <x:c r="C5" s="155" t="n">
        <x:v>40</x:v>
      </x:c>
      <x:c r="D5" s="155" t="n">
        <x:v>35</x:v>
      </x:c>
      <x:c r="E5" s="155" t="n">
        <x:f>SUM(B5:D5)</x:f>
        <x:v>120</x:v>
      </x:c>
      <x:c r="F5" s="176" t="n">
        <x:f>E5/$E$12</x:f>
        <x:v>0.13333333333333333</x:v>
      </x:c>
      <x:c r="G5" s="86"/>
      <x:c r="H5" s="86"/>
    </x:row>
    <x:row r="6">
      <x:c r="A6" s="153" t="str">
        <x:v>Base de datos</x:v>
      </x:c>
      <x:c r="B6" s="155" t="n">
        <x:v>40</x:v>
      </x:c>
      <x:c r="C6" s="155" t="n">
        <x:v>20</x:v>
      </x:c>
      <x:c r="D6" s="155" t="n">
        <x:v>60</x:v>
      </x:c>
      <x:c r="E6" s="155" t="n">
        <x:f>SUM(B6:D6)</x:f>
        <x:v>120</x:v>
      </x:c>
      <x:c r="F6" s="176" t="n">
        <x:f>E6/$E$12</x:f>
        <x:v>0.13333333333333333</x:v>
      </x:c>
      <x:c r="G6" s="86"/>
      <x:c r="H6" s="86"/>
    </x:row>
    <x:row r="7">
      <x:c r="A7" s="153" t="str">
        <x:v>Backend y APIs</x:v>
      </x:c>
      <x:c r="B7" s="155" t="n">
        <x:v>65</x:v>
      </x:c>
      <x:c r="C7" s="155" t="n">
        <x:v>45</x:v>
      </x:c>
      <x:c r="D7" s="155" t="n">
        <x:v>70</x:v>
      </x:c>
      <x:c r="E7" s="155" t="n">
        <x:f>SUM(B7:D7)</x:f>
        <x:v>180</x:v>
      </x:c>
      <x:c r="F7" s="176" t="n">
        <x:f>E7/$E$12</x:f>
        <x:v>0.2</x:v>
      </x:c>
      <x:c r="G7" s="86"/>
      <x:c r="H7" s="86"/>
    </x:row>
    <x:row r="8">
      <x:c r="A8" s="153" t="str">
        <x:v>Plataforma Web</x:v>
      </x:c>
      <x:c r="B8" s="155" t="n">
        <x:v>30</x:v>
      </x:c>
      <x:c r="C8" s="155" t="n">
        <x:v>60</x:v>
      </x:c>
      <x:c r="D8" s="155" t="n">
        <x:v>30</x:v>
      </x:c>
      <x:c r="E8" s="155" t="n">
        <x:f>SUM(B8:D8)</x:f>
        <x:v>120</x:v>
      </x:c>
      <x:c r="F8" s="176" t="n">
        <x:f>E8/$E$12</x:f>
        <x:v>0.13333333333333333</x:v>
      </x:c>
      <x:c r="G8" s="86"/>
      <x:c r="H8" s="86"/>
    </x:row>
    <x:row r="9">
      <x:c r="A9" s="153" t="str">
        <x:v>Aplicación Escritorio PySide6</x:v>
      </x:c>
      <x:c r="B9" s="155" t="n">
        <x:v>25</x:v>
      </x:c>
      <x:c r="C9" s="155" t="n">
        <x:v>30</x:v>
      </x:c>
      <x:c r="D9" s="155" t="n">
        <x:v>50</x:v>
      </x:c>
      <x:c r="E9" s="155" t="n">
        <x:f>SUM(B9:D9)</x:f>
        <x:v>105</x:v>
      </x:c>
      <x:c r="F9" s="176" t="n">
        <x:f>E9/$E$12</x:f>
        <x:v>0.11666666666666667</x:v>
      </x:c>
      <x:c r="G9" s="86"/>
      <x:c r="H9" s="86"/>
    </x:row>
    <x:row r="10">
      <x:c r="A10" s="153" t="str">
        <x:v>QA, seguridad e integración</x:v>
      </x:c>
      <x:c r="B10" s="155" t="n">
        <x:v>35</x:v>
      </x:c>
      <x:c r="C10" s="155" t="n">
        <x:v>45</x:v>
      </x:c>
      <x:c r="D10" s="155" t="n">
        <x:v>25</x:v>
      </x:c>
      <x:c r="E10" s="155" t="n">
        <x:f>SUM(B10:D10)</x:f>
        <x:v>105</x:v>
      </x:c>
      <x:c r="F10" s="176" t="n">
        <x:f>E10/$E$12</x:f>
        <x:v>0.11666666666666667</x:v>
      </x:c>
      <x:c r="G10" s="86"/>
      <x:c r="H10" s="86"/>
    </x:row>
    <x:row r="11">
      <x:c r="A11" s="153" t="str">
        <x:v>Documentación y despliegue</x:v>
      </x:c>
      <x:c r="B11" s="155" t="n">
        <x:v>25</x:v>
      </x:c>
      <x:c r="C11" s="155" t="n">
        <x:v>25</x:v>
      </x:c>
      <x:c r="D11" s="155" t="n">
        <x:v>10</x:v>
      </x:c>
      <x:c r="E11" s="155" t="n">
        <x:f>SUM(B11:D11)</x:f>
        <x:v>60</x:v>
      </x:c>
      <x:c r="F11" s="176" t="n">
        <x:f>E11/$E$12</x:f>
        <x:v>0.06666666666666667</x:v>
      </x:c>
      <x:c r="G11" s="86"/>
      <x:c r="H11" s="86"/>
    </x:row>
    <x:row r="12">
      <x:c r="A12" s="158" t="str">
        <x:v>TOTAL</x:v>
      </x:c>
      <x:c r="B12" s="160" t="n">
        <x:f>SUM(B4:B11)</x:f>
        <x:v>300</x:v>
      </x:c>
      <x:c r="C12" s="160" t="n">
        <x:f>SUM(C4:C11)</x:f>
        <x:v>300</x:v>
      </x:c>
      <x:c r="D12" s="160" t="n">
        <x:f>SUM(D4:D11)</x:f>
        <x:v>300</x:v>
      </x:c>
      <x:c r="E12" s="160" t="n">
        <x:f>SUM(E4:E11)</x:f>
        <x:v>900</x:v>
      </x:c>
      <x:c r="F12" s="177" t="n">
        <x:f>SUM(F4:F11)</x:f>
        <x:v>1</x:v>
      </x:c>
      <x:c r="G12" s="86"/>
      <x:c r="H12" s="86"/>
    </x:row>
    <x:row r="13">
      <x:c r="A13" s="86"/>
      <x:c r="B13" s="86"/>
      <x:c r="C13" s="86"/>
      <x:c r="D13" s="86"/>
      <x:c r="E13" s="86"/>
      <x:c r="F13" s="86"/>
      <x:c r="G13" s="86"/>
      <x:c r="H13" s="86"/>
    </x:row>
    <x:row r="14">
      <x:c r="A14" s="86"/>
      <x:c r="B14" s="86"/>
      <x:c r="C14" s="86"/>
      <x:c r="D14" s="86"/>
      <x:c r="E14" s="86"/>
      <x:c r="F14" s="86"/>
      <x:c r="G14" s="86"/>
      <x:c r="H14" s="86"/>
    </x:row>
    <x:row r="15">
      <x:c r="A15" s="86"/>
      <x:c r="B15" s="86"/>
      <x:c r="C15" s="86"/>
      <x:c r="D15" s="86"/>
      <x:c r="E15" s="86"/>
      <x:c r="F15" s="86"/>
      <x:c r="G15" s="86"/>
      <x:c r="H15" s="86"/>
    </x:row>
    <x:row r="16">
      <x:c r="A16" s="86"/>
      <x:c r="B16" s="86"/>
      <x:c r="C16" s="86"/>
      <x:c r="D16" s="86"/>
      <x:c r="E16" s="86"/>
      <x:c r="F16" s="86"/>
      <x:c r="G16" s="86"/>
      <x:c r="H16" s="86"/>
    </x:row>
    <x:row r="17">
      <x:c r="A17" s="86"/>
      <x:c r="B17" s="86"/>
      <x:c r="C17" s="86"/>
      <x:c r="D17" s="86"/>
      <x:c r="E17" s="86"/>
      <x:c r="F17" s="86"/>
      <x:c r="G17" s="86"/>
      <x:c r="H17" s="86"/>
    </x:row>
    <x:row r="18">
      <x:c r="A18" s="86"/>
      <x:c r="B18" s="86"/>
      <x:c r="C18" s="86"/>
      <x:c r="D18" s="86"/>
      <x:c r="E18" s="86"/>
      <x:c r="F18" s="86"/>
      <x:c r="G18" s="86"/>
      <x:c r="H18" s="86"/>
    </x:row>
    <x:row r="19">
      <x:c r="A19" s="86"/>
      <x:c r="B19" s="86"/>
      <x:c r="C19" s="86"/>
      <x:c r="D19" s="86"/>
      <x:c r="E19" s="86"/>
      <x:c r="F19" s="86"/>
      <x:c r="G19" s="86"/>
      <x:c r="H19" s="86"/>
    </x:row>
    <x:row r="20">
      <x:c r="A20" s="86"/>
      <x:c r="B20" s="86"/>
      <x:c r="C20" s="86"/>
      <x:c r="D20" s="86"/>
      <x:c r="E20" s="86"/>
      <x:c r="F20" s="86"/>
      <x:c r="G20" s="86"/>
      <x:c r="H20" s="86"/>
    </x:row>
    <x:row r="21">
      <x:c r="A21" s="86"/>
      <x:c r="B21" s="86"/>
      <x:c r="C21" s="86"/>
      <x:c r="D21" s="86"/>
      <x:c r="E21" s="86"/>
      <x:c r="F21" s="86"/>
      <x:c r="G21" s="86"/>
      <x:c r="H21" s="86"/>
    </x:row>
    <x:row r="22">
      <x:c r="A22" s="86"/>
      <x:c r="B22" s="86"/>
      <x:c r="C22" s="86"/>
      <x:c r="D22" s="86"/>
      <x:c r="E22" s="86"/>
      <x:c r="F22" s="86"/>
      <x:c r="G22" s="86"/>
      <x:c r="H22" s="86"/>
    </x:row>
    <x:row r="23">
      <x:c r="A23" s="86"/>
      <x:c r="B23" s="86"/>
      <x:c r="C23" s="86"/>
      <x:c r="D23" s="86"/>
      <x:c r="E23" s="86"/>
      <x:c r="F23" s="86"/>
      <x:c r="G23" s="86"/>
      <x:c r="H23" s="86"/>
    </x:row>
    <x:row r="24">
      <x:c r="A24" s="86"/>
      <x:c r="B24" s="86"/>
      <x:c r="C24" s="86"/>
      <x:c r="D24" s="86"/>
      <x:c r="E24" s="86"/>
      <x:c r="F24" s="86"/>
      <x:c r="G24" s="86"/>
      <x:c r="H24" s="86"/>
    </x:row>
    <x:row r="25">
      <x:c r="A25" s="86"/>
      <x:c r="B25" s="86"/>
      <x:c r="C25" s="86"/>
      <x:c r="D25" s="86"/>
      <x:c r="E25" s="86"/>
      <x:c r="F25" s="86"/>
      <x:c r="G25" s="86"/>
      <x:c r="H25" s="86"/>
    </x:row>
    <x:row r="26">
      <x:c r="A26" s="86"/>
      <x:c r="B26" s="86"/>
      <x:c r="C26" s="86"/>
      <x:c r="D26" s="86"/>
      <x:c r="E26" s="86"/>
      <x:c r="F26" s="86"/>
      <x:c r="G26" s="86"/>
      <x:c r="H26" s="86"/>
    </x:row>
    <x:row r="27">
      <x:c r="A27" s="86"/>
      <x:c r="B27" s="86"/>
      <x:c r="C27" s="86"/>
      <x:c r="D27" s="86"/>
      <x:c r="E27" s="86"/>
      <x:c r="F27" s="86"/>
      <x:c r="G27" s="86"/>
      <x:c r="H27" s="86"/>
    </x:row>
    <x:row r="28">
      <x:c r="A28" s="86"/>
      <x:c r="B28" s="86"/>
      <x:c r="C28" s="86"/>
      <x:c r="D28" s="86"/>
      <x:c r="E28" s="86"/>
      <x:c r="F28" s="86"/>
      <x:c r="G28" s="86"/>
      <x:c r="H28" s="86"/>
    </x:row>
    <x:row r="29">
      <x:c r="A29" s="86"/>
      <x:c r="B29" s="86"/>
      <x:c r="C29" s="86"/>
      <x:c r="D29" s="86"/>
      <x:c r="E29" s="86"/>
      <x:c r="F29" s="86"/>
      <x:c r="G29" s="86"/>
      <x:c r="H29" s="86"/>
    </x:row>
    <x:row r="30">
      <x:c r="A30" s="86"/>
      <x:c r="B30" s="86"/>
      <x:c r="C30" s="86"/>
      <x:c r="D30" s="86"/>
      <x:c r="E30" s="86"/>
      <x:c r="F30" s="86"/>
      <x:c r="G30" s="86"/>
      <x:c r="H30" s="86"/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4" hidden="0" customWidth="1"/>
    <x:col min="3" max="3" width="18" hidden="0" customWidth="1"/>
    <x:col min="4" max="4" width="42" hidden="0" customWidth="1"/>
  </x:cols>
  <x:sheetData>
    <x:row r="1">
      <x:c r="A1" s="110" t="str">
        <x:v>Estimación de Costos — SIGET</x:v>
      </x:c>
      <x:c r="B1" s="110"/>
      <x:c r="C1" s="110"/>
      <x:c r="D1" s="110"/>
      <x:c r="E1" s="86"/>
      <x:c r="F1" s="86"/>
      <x:c r="G1" s="86"/>
      <x:c r="H1" s="86"/>
    </x:row>
    <x:row r="2">
      <x:c r="A2" s="86"/>
      <x:c r="B2" s="86"/>
      <x:c r="C2" s="86"/>
      <x:c r="D2" s="86"/>
      <x:c r="E2" s="86"/>
      <x:c r="F2" s="86"/>
      <x:c r="G2" s="86"/>
      <x:c r="H2" s="86"/>
    </x:row>
    <x:row r="3">
      <x:c r="A3" s="150" t="str">
        <x:v>Concepto</x:v>
      </x:c>
      <x:c r="B3" s="151" t="str">
        <x:v>Base de cálculo</x:v>
      </x:c>
      <x:c r="C3" s="151" t="str">
        <x:v>Estimación CLP</x:v>
      </x:c>
      <x:c r="D3" s="152" t="str">
        <x:v>Observación</x:v>
      </x:c>
      <x:c r="E3" s="86"/>
      <x:c r="F3" s="86"/>
      <x:c r="G3" s="86"/>
      <x:c r="H3" s="86"/>
    </x:row>
    <x:row r="4">
      <x:c r="A4" s="153" t="str">
        <x:v>Desarrollo — 3 integrantes</x:v>
      </x:c>
      <x:c r="B4" s="154" t="str">
        <x:v>900 HH × $15.000/HH</x:v>
      </x:c>
      <x:c r="C4" s="156" t="n">
        <x:f>'HH por Integrante'!E7</x:f>
        <x:v>13500000</x:v>
      </x:c>
      <x:c r="D4" s="180" t="str">
        <x:v>Valorización referencial del esfuerzo</x:v>
      </x:c>
      <x:c r="E4" s="86"/>
      <x:c r="F4" s="86"/>
      <x:c r="G4" s="86"/>
      <x:c r="H4" s="86"/>
    </x:row>
    <x:row r="5">
      <x:c r="A5" s="153" t="str">
        <x:v>Hosting/servidor e infraestructura</x:v>
      </x:c>
      <x:c r="B5" s="154" t="str">
        <x:v>Estimación del proyecto</x:v>
      </x:c>
      <x:c r="C5" s="156" t="n">
        <x:v>600000</x:v>
      </x:c>
      <x:c r="D5" s="180" t="str">
        <x:v>Infraestructura de desarrollo/despliegue</x:v>
      </x:c>
      <x:c r="E5" s="86"/>
      <x:c r="F5" s="86"/>
      <x:c r="G5" s="86"/>
      <x:c r="H5" s="86"/>
    </x:row>
    <x:row r="6">
      <x:c r="A6" s="153" t="str">
        <x:v>Dominio, correo y servicios externos/APIs</x:v>
      </x:c>
      <x:c r="B6" s="154" t="str">
        <x:v>Estimación del proyecto</x:v>
      </x:c>
      <x:c r="C6" s="156" t="n">
        <x:v>250000</x:v>
      </x:c>
      <x:c r="D6" s="180" t="str">
        <x:v>Servicios tecnológicos externos</x:v>
      </x:c>
      <x:c r="E6" s="86"/>
      <x:c r="F6" s="86"/>
      <x:c r="G6" s="86"/>
      <x:c r="H6" s="86"/>
    </x:row>
    <x:row r="7">
      <x:c r="A7" s="153" t="str">
        <x:v>Equipamiento/periféricos y pruebas</x:v>
      </x:c>
      <x:c r="B7" s="154" t="str">
        <x:v>Estimación del proyecto</x:v>
      </x:c>
      <x:c r="C7" s="156" t="n">
        <x:v>350000</x:v>
      </x:c>
      <x:c r="D7" s="180" t="str">
        <x:v>QR, periféricos y validación</x:v>
      </x:c>
      <x:c r="E7" s="86"/>
      <x:c r="F7" s="86"/>
      <x:c r="G7" s="86"/>
      <x:c r="H7" s="86"/>
    </x:row>
    <x:row r="8">
      <x:c r="A8" s="153" t="str">
        <x:v>Herramientas/licencias</x:v>
      </x:c>
      <x:c r="B8" s="154" t="str">
        <x:v>Tecnologías open source</x:v>
      </x:c>
      <x:c r="C8" s="156" t="n">
        <x:v>0</x:v>
      </x:c>
      <x:c r="D8" s="180" t="str">
        <x:v>Costo de licenciamiento estimado en $0</x:v>
      </x:c>
      <x:c r="E8" s="86"/>
      <x:c r="F8" s="86"/>
      <x:c r="G8" s="86"/>
      <x:c r="H8" s="86"/>
    </x:row>
    <x:row r="9">
      <x:c r="A9" s="181" t="str">
        <x:v>Costos planificados identificados</x:v>
      </x:c>
      <x:c r="B9" s="182" t="str"/>
      <x:c r="C9" s="183" t="n">
        <x:f>SUM(C4:C8)</x:f>
        <x:v>14700000</x:v>
      </x:c>
      <x:c r="D9" s="184" t="str">
        <x:v>Suma de costos actualmente fundamentados</x:v>
      </x:c>
      <x:c r="E9" s="86"/>
      <x:c r="F9" s="86"/>
      <x:c r="G9" s="86"/>
      <x:c r="H9" s="86"/>
    </x:row>
    <x:row r="10">
      <x:c r="A10" s="181" t="str">
        <x:v>Saldo no asignado presupuesto base</x:v>
      </x:c>
      <x:c r="B10" s="182" t="str">
        <x:v>$16.000.000 - costos identificados</x:v>
      </x:c>
      <x:c r="C10" s="183" t="n">
        <x:f>C11-C9</x:f>
        <x:v>1300000</x:v>
      </x:c>
      <x:c r="D10" s="184" t="str">
        <x:v>Holgura del presupuesto base; no es contingencia</x:v>
      </x:c>
      <x:c r="E10" s="86"/>
      <x:c r="F10" s="86"/>
      <x:c r="G10" s="86"/>
      <x:c r="H10" s="86"/>
    </x:row>
    <x:row r="11">
      <x:c r="A11" s="185" t="str">
        <x:v>PRESUPUESTO BASE</x:v>
      </x:c>
      <x:c r="B11" s="186" t="str"/>
      <x:c r="C11" s="187" t="n">
        <x:v>16000000</x:v>
      </x:c>
      <x:c r="D11" s="188" t="str">
        <x:v>Monto base definido para SIGET</x:v>
      </x:c>
      <x:c r="E11" s="86"/>
      <x:c r="F11" s="86"/>
      <x:c r="G11" s="86"/>
      <x:c r="H11" s="86"/>
    </x:row>
    <x:row r="12">
      <x:c r="A12" s="189" t="str">
        <x:v>Contingencia adicional</x:v>
      </x:c>
      <x:c r="B12" s="190" t="str">
        <x:v>10% del presupuesto base</x:v>
      </x:c>
      <x:c r="C12" s="191" t="n">
        <x:f>C11*10%</x:f>
        <x:v>1600000</x:v>
      </x:c>
      <x:c r="D12" s="192" t="str">
        <x:v>Uso exclusivo ante emergencias/variaciones justificadas</x:v>
      </x:c>
      <x:c r="E12" s="86"/>
      <x:c r="F12" s="86"/>
      <x:c r="G12" s="86"/>
      <x:c r="H12" s="86"/>
    </x:row>
    <x:row r="13">
      <x:c r="A13" s="158" t="str">
        <x:v>PRESUPUESTO MÁXIMO</x:v>
      </x:c>
      <x:c r="B13" s="159" t="str">
        <x:v>Base + contingencia</x:v>
      </x:c>
      <x:c r="C13" s="161" t="n">
        <x:f>C11+C12</x:f>
        <x:v>17600000</x:v>
      </x:c>
      <x:c r="D13" s="193" t="str">
        <x:v>Máximo si se utiliza el 100% de la reserva</x:v>
      </x:c>
      <x:c r="E13" s="86"/>
      <x:c r="F13" s="86"/>
      <x:c r="G13" s="86"/>
      <x:c r="H13" s="86"/>
    </x:row>
    <x:row r="14">
      <x:c r="A14" s="86" t="str"/>
      <x:c r="B14" s="86" t="str"/>
      <x:c r="C14" s="86" t="str"/>
      <x:c r="D14" s="86" t="str"/>
      <x:c r="E14" s="86"/>
      <x:c r="F14" s="86"/>
      <x:c r="G14" s="86"/>
      <x:c r="H14" s="86"/>
    </x:row>
    <x:row r="15">
      <x:c r="A15" s="139" t="str">
        <x:v>Nota: el saldo no asignado dentro del presupuesto base no debe confundirse con la reserva de contingencia adicional del 10%.</x:v>
      </x:c>
      <x:c r="B15" s="139"/>
      <x:c r="C15" s="139"/>
      <x:c r="D15" s="139"/>
      <x:c r="E15" s="86"/>
      <x:c r="F15" s="86"/>
      <x:c r="G15" s="86"/>
      <x:c r="H15" s="86"/>
    </x:row>
    <x:row r="16">
      <x:c r="A16" s="86"/>
      <x:c r="B16" s="86"/>
      <x:c r="C16" s="86"/>
      <x:c r="D16" s="86"/>
      <x:c r="E16" s="86"/>
      <x:c r="F16" s="86"/>
      <x:c r="G16" s="86"/>
      <x:c r="H16" s="86"/>
    </x:row>
    <x:row r="17">
      <x:c r="A17" s="86"/>
      <x:c r="B17" s="86"/>
      <x:c r="C17" s="86"/>
      <x:c r="D17" s="86"/>
      <x:c r="E17" s="86"/>
      <x:c r="F17" s="86"/>
      <x:c r="G17" s="86"/>
      <x:c r="H17" s="86"/>
    </x:row>
    <x:row r="18">
      <x:c r="A18" s="86"/>
      <x:c r="B18" s="86"/>
      <x:c r="C18" s="86"/>
      <x:c r="D18" s="86"/>
      <x:c r="E18" s="86"/>
      <x:c r="F18" s="86"/>
      <x:c r="G18" s="86"/>
      <x:c r="H18" s="86"/>
    </x:row>
    <x:row r="19">
      <x:c r="A19" s="86"/>
      <x:c r="B19" s="86"/>
      <x:c r="C19" s="86"/>
      <x:c r="D19" s="86"/>
      <x:c r="E19" s="86"/>
      <x:c r="F19" s="86"/>
      <x:c r="G19" s="86"/>
      <x:c r="H19" s="86"/>
    </x:row>
    <x:row r="20">
      <x:c r="A20" s="86"/>
      <x:c r="B20" s="86"/>
      <x:c r="C20" s="86"/>
      <x:c r="D20" s="86"/>
      <x:c r="E20" s="86"/>
      <x:c r="F20" s="86"/>
      <x:c r="G20" s="86"/>
      <x:c r="H20" s="86"/>
    </x:row>
    <x:row r="21">
      <x:c r="A21" s="86"/>
      <x:c r="B21" s="86"/>
      <x:c r="C21" s="86"/>
      <x:c r="D21" s="86"/>
      <x:c r="E21" s="86"/>
      <x:c r="F21" s="86"/>
      <x:c r="G21" s="86"/>
      <x:c r="H21" s="86"/>
    </x:row>
    <x:row r="22">
      <x:c r="A22" s="86"/>
      <x:c r="B22" s="86"/>
      <x:c r="C22" s="86"/>
      <x:c r="D22" s="86"/>
      <x:c r="E22" s="86"/>
      <x:c r="F22" s="86"/>
      <x:c r="G22" s="86"/>
      <x:c r="H22" s="86"/>
    </x:row>
    <x:row r="23">
      <x:c r="A23" s="86"/>
      <x:c r="B23" s="86"/>
      <x:c r="C23" s="86"/>
      <x:c r="D23" s="86"/>
      <x:c r="E23" s="86"/>
      <x:c r="F23" s="86"/>
      <x:c r="G23" s="86"/>
      <x:c r="H23" s="86"/>
    </x:row>
    <x:row r="24">
      <x:c r="A24" s="86"/>
      <x:c r="B24" s="86"/>
      <x:c r="C24" s="86"/>
      <x:c r="D24" s="86"/>
      <x:c r="E24" s="86"/>
      <x:c r="F24" s="86"/>
      <x:c r="G24" s="86"/>
      <x:c r="H24" s="86"/>
    </x:row>
    <x:row r="25">
      <x:c r="A25" s="86"/>
      <x:c r="B25" s="86"/>
      <x:c r="C25" s="86"/>
      <x:c r="D25" s="86"/>
      <x:c r="E25" s="86"/>
      <x:c r="F25" s="86"/>
      <x:c r="G25" s="86"/>
      <x:c r="H25" s="86"/>
    </x:row>
    <x:row r="26">
      <x:c r="A26" s="86"/>
      <x:c r="B26" s="86"/>
      <x:c r="C26" s="86"/>
      <x:c r="D26" s="86"/>
      <x:c r="E26" s="86"/>
      <x:c r="F26" s="86"/>
      <x:c r="G26" s="86"/>
      <x:c r="H26" s="86"/>
    </x:row>
    <x:row r="27">
      <x:c r="A27" s="86"/>
      <x:c r="B27" s="86"/>
      <x:c r="C27" s="86"/>
      <x:c r="D27" s="86"/>
      <x:c r="E27" s="86"/>
      <x:c r="F27" s="86"/>
      <x:c r="G27" s="86"/>
      <x:c r="H27" s="86"/>
    </x:row>
    <x:row r="28">
      <x:c r="A28" s="86"/>
      <x:c r="B28" s="86"/>
      <x:c r="C28" s="86"/>
      <x:c r="D28" s="86"/>
      <x:c r="E28" s="86"/>
      <x:c r="F28" s="86"/>
      <x:c r="G28" s="86"/>
      <x:c r="H28" s="86"/>
    </x:row>
    <x:row r="29">
      <x:c r="A29" s="86"/>
      <x:c r="B29" s="86"/>
      <x:c r="C29" s="86"/>
      <x:c r="D29" s="86"/>
      <x:c r="E29" s="86"/>
      <x:c r="F29" s="86"/>
      <x:c r="G29" s="86"/>
      <x:c r="H29" s="86"/>
    </x:row>
    <x:row r="30">
      <x:c r="A30" s="86"/>
      <x:c r="B30" s="86"/>
      <x:c r="C30" s="86"/>
      <x:c r="D30" s="86"/>
      <x:c r="E30" s="86"/>
      <x:c r="F30" s="86"/>
      <x:c r="G30" s="86"/>
      <x:c r="H30" s="86"/>
    </x:row>
  </x:sheetData>
  <x:mergeCells>
    <x:mergeCell ref="A1:D1"/>
    <x:mergeCell ref="A15:D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16" hidden="0" customWidth="1"/>
    <x:col min="4" max="4" width="14" hidden="0" customWidth="1"/>
    <x:col min="5" max="5" width="16" hidden="0" customWidth="1"/>
    <x:col min="6" max="6" width="18" hidden="0" customWidth="1"/>
    <x:col min="7" max="7" width="18" hidden="0" customWidth="1"/>
    <x:col min="8" max="8" width="16" hidden="0" customWidth="1"/>
  </x:cols>
  <x:sheetData>
    <x:row r="1">
      <x:c r="A1" s="110" t="str">
        <x:v>Seguimiento TEC por Sprint — editable durante la ejecución</x:v>
      </x:c>
      <x:c r="B1" s="110"/>
      <x:c r="C1" s="110"/>
      <x:c r="D1" s="110"/>
      <x:c r="E1" s="110"/>
      <x:c r="F1" s="110"/>
      <x:c r="G1" s="110"/>
      <x:c r="H1" s="110"/>
    </x:row>
    <x:row r="2">
      <x:c r="A2" s="86"/>
      <x:c r="B2" s="86"/>
      <x:c r="C2" s="86"/>
      <x:c r="D2" s="86"/>
      <x:c r="E2" s="86"/>
      <x:c r="F2" s="86"/>
      <x:c r="G2" s="86"/>
      <x:c r="H2" s="86"/>
    </x:row>
    <x:row r="3">
      <x:c r="A3" s="150" t="str">
        <x:v>Sprint</x:v>
      </x:c>
      <x:c r="B3" s="151" t="str">
        <x:v>Periodo / foco</x:v>
      </x:c>
      <x:c r="C3" s="151" t="str">
        <x:v>HH planificadas</x:v>
      </x:c>
      <x:c r="D3" s="151" t="str">
        <x:v>HH reales</x:v>
      </x:c>
      <x:c r="E3" s="151" t="str">
        <x:v>Desviación HH</x:v>
      </x:c>
      <x:c r="F3" s="151" t="str">
        <x:v>Costo planificado</x:v>
      </x:c>
      <x:c r="G3" s="151" t="str">
        <x:v>Costo real</x:v>
      </x:c>
      <x:c r="H3" s="152" t="str">
        <x:v>Estado</x:v>
      </x:c>
    </x:row>
    <x:row r="4">
      <x:c r="A4" s="153" t="str">
        <x:v>Sprint 1</x:v>
      </x:c>
      <x:c r="B4" s="154" t="str">
        <x:v>Definición inicial y documentación</x:v>
      </x:c>
      <x:c r="C4" s="155" t="n">
        <x:v>100</x:v>
      </x:c>
      <x:c r="D4" s="155" t="str"/>
      <x:c r="E4" s="155" t="str">
        <x:f>IF(D4="","",D4-C4)</x:f>
      </x:c>
      <x:c r="F4" s="156" t="n">
        <x:f>C4*15000</x:f>
        <x:v>1500000</x:v>
      </x:c>
      <x:c r="G4" s="156" t="str">
        <x:f>IF(D4="","",D4*15000)</x:f>
      </x:c>
      <x:c r="H4" s="180" t="str">
        <x:v>Completado</x:v>
      </x:c>
    </x:row>
    <x:row r="5">
      <x:c r="A5" s="153" t="str">
        <x:v>Sprint 2</x:v>
      </x:c>
      <x:c r="B5" s="154" t="str">
        <x:v>Requerimientos, diseño y prototipos</x:v>
      </x:c>
      <x:c r="C5" s="155" t="n">
        <x:v>100</x:v>
      </x:c>
      <x:c r="D5" s="155" t="str"/>
      <x:c r="E5" s="155" t="str">
        <x:f>IF(D5="","",D5-C5)</x:f>
      </x:c>
      <x:c r="F5" s="156" t="n">
        <x:f>C5*15000</x:f>
        <x:v>1500000</x:v>
      </x:c>
      <x:c r="G5" s="156" t="str">
        <x:f>IF(D5="","",D5*15000)</x:f>
      </x:c>
      <x:c r="H5" s="180" t="str">
        <x:v>Completado</x:v>
      </x:c>
    </x:row>
    <x:row r="6">
      <x:c r="A6" s="153" t="str">
        <x:v>Sprint 3</x:v>
      </x:c>
      <x:c r="B6" s="154" t="str">
        <x:v>Arquitectura, Docker e infraestructura</x:v>
      </x:c>
      <x:c r="C6" s="155" t="n">
        <x:v>100</x:v>
      </x:c>
      <x:c r="D6" s="155" t="str"/>
      <x:c r="E6" s="155" t="str">
        <x:f>IF(D6="","",D6-C6)</x:f>
      </x:c>
      <x:c r="F6" s="156" t="n">
        <x:f>C6*15000</x:f>
        <x:v>1500000</x:v>
      </x:c>
      <x:c r="G6" s="156" t="str">
        <x:f>IF(D6="","",D6*15000)</x:f>
      </x:c>
      <x:c r="H6" s="180" t="str">
        <x:v>En curso</x:v>
      </x:c>
    </x:row>
    <x:row r="7">
      <x:c r="A7" s="153" t="str">
        <x:v>Sprint 4</x:v>
      </x:c>
      <x:c r="B7" s="154" t="str">
        <x:v>Base de datos</x:v>
      </x:c>
      <x:c r="C7" s="155" t="n">
        <x:v>100</x:v>
      </x:c>
      <x:c r="D7" s="155" t="str"/>
      <x:c r="E7" s="155" t="str">
        <x:f>IF(D7="","",D7-C7)</x:f>
      </x:c>
      <x:c r="F7" s="156" t="n">
        <x:f>C7*15000</x:f>
        <x:v>1500000</x:v>
      </x:c>
      <x:c r="G7" s="156" t="str">
        <x:f>IF(D7="","",D7*15000)</x:f>
      </x:c>
      <x:c r="H7" s="180" t="str">
        <x:v>No iniciado</x:v>
      </x:c>
    </x:row>
    <x:row r="8">
      <x:c r="A8" s="153" t="str">
        <x:v>Sprint 5</x:v>
      </x:c>
      <x:c r="B8" s="154" t="str">
        <x:v>Backend / APIs</x:v>
      </x:c>
      <x:c r="C8" s="155" t="n">
        <x:v>100</x:v>
      </x:c>
      <x:c r="D8" s="155" t="str"/>
      <x:c r="E8" s="155" t="str">
        <x:f>IF(D8="","",D8-C8)</x:f>
      </x:c>
      <x:c r="F8" s="156" t="n">
        <x:f>C8*15000</x:f>
        <x:v>1500000</x:v>
      </x:c>
      <x:c r="G8" s="156" t="str">
        <x:f>IF(D8="","",D8*15000)</x:f>
      </x:c>
      <x:c r="H8" s="180" t="str">
        <x:v>No iniciado</x:v>
      </x:c>
    </x:row>
    <x:row r="9">
      <x:c r="A9" s="153" t="str">
        <x:v>Sprint 6</x:v>
      </x:c>
      <x:c r="B9" s="154" t="str">
        <x:v>Plataforma Web</x:v>
      </x:c>
      <x:c r="C9" s="155" t="n">
        <x:v>100</x:v>
      </x:c>
      <x:c r="D9" s="155" t="str"/>
      <x:c r="E9" s="155" t="str">
        <x:f>IF(D9="","",D9-C9)</x:f>
      </x:c>
      <x:c r="F9" s="156" t="n">
        <x:f>C9*15000</x:f>
        <x:v>1500000</x:v>
      </x:c>
      <x:c r="G9" s="156" t="str">
        <x:f>IF(D9="","",D9*15000)</x:f>
      </x:c>
      <x:c r="H9" s="180" t="str">
        <x:v>No iniciado</x:v>
      </x:c>
    </x:row>
    <x:row r="10">
      <x:c r="A10" s="153" t="str">
        <x:v>Sprint 7</x:v>
      </x:c>
      <x:c r="B10" s="154" t="str">
        <x:v>Aplicación Escritorio</x:v>
      </x:c>
      <x:c r="C10" s="155" t="n">
        <x:v>100</x:v>
      </x:c>
      <x:c r="D10" s="155" t="str"/>
      <x:c r="E10" s="155" t="str">
        <x:f>IF(D10="","",D10-C10)</x:f>
      </x:c>
      <x:c r="F10" s="156" t="n">
        <x:f>C10*15000</x:f>
        <x:v>1500000</x:v>
      </x:c>
      <x:c r="G10" s="156" t="str">
        <x:f>IF(D10="","",D10*15000)</x:f>
      </x:c>
      <x:c r="H10" s="180" t="str">
        <x:v>No iniciado</x:v>
      </x:c>
    </x:row>
    <x:row r="11">
      <x:c r="A11" s="153" t="str">
        <x:v>Sprint 8</x:v>
      </x:c>
      <x:c r="B11" s="154" t="str">
        <x:v>Integraciones, seguridad y reportería</x:v>
      </x:c>
      <x:c r="C11" s="155" t="n">
        <x:v>100</x:v>
      </x:c>
      <x:c r="D11" s="155" t="str"/>
      <x:c r="E11" s="155" t="str">
        <x:f>IF(D11="","",D11-C11)</x:f>
      </x:c>
      <x:c r="F11" s="156" t="n">
        <x:f>C11*15000</x:f>
        <x:v>1500000</x:v>
      </x:c>
      <x:c r="G11" s="156" t="str">
        <x:f>IF(D11="","",D11*15000)</x:f>
      </x:c>
      <x:c r="H11" s="180" t="str">
        <x:v>No iniciado</x:v>
      </x:c>
    </x:row>
    <x:row r="12">
      <x:c r="A12" s="153" t="str">
        <x:v>Sprint 9</x:v>
      </x:c>
      <x:c r="B12" s="154" t="str">
        <x:v>QA, estabilización y cierre</x:v>
      </x:c>
      <x:c r="C12" s="155" t="n">
        <x:v>100</x:v>
      </x:c>
      <x:c r="D12" s="155" t="str"/>
      <x:c r="E12" s="155" t="str">
        <x:f>IF(D12="","",D12-C12)</x:f>
      </x:c>
      <x:c r="F12" s="156" t="n">
        <x:f>C12*15000</x:f>
        <x:v>1500000</x:v>
      </x:c>
      <x:c r="G12" s="156" t="str">
        <x:f>IF(D12="","",D12*15000)</x:f>
      </x:c>
      <x:c r="H12" s="180" t="str">
        <x:v>No iniciado</x:v>
      </x:c>
    </x:row>
    <x:row r="13">
      <x:c r="A13" s="158" t="str">
        <x:v>TOTAL</x:v>
      </x:c>
      <x:c r="B13" s="159" t="str"/>
      <x:c r="C13" s="160" t="n">
        <x:f>SUM(C4:C12)</x:f>
        <x:v>900</x:v>
      </x:c>
      <x:c r="D13" s="160" t="str">
        <x:f>IF(COUNT(D4:D12)=0,"",SUM(D4:D12))</x:f>
      </x:c>
      <x:c r="E13" s="160" t="str">
        <x:f>IF(D13="","",D13-C13)</x:f>
      </x:c>
      <x:c r="F13" s="161" t="n">
        <x:f>SUM(F4:F12)</x:f>
        <x:v>13500000</x:v>
      </x:c>
      <x:c r="G13" s="161" t="str">
        <x:f>IF(COUNT(G4:G12)=0,"",SUM(G4:G12))</x:f>
      </x:c>
      <x:c r="H13" s="193" t="str"/>
    </x:row>
    <x:row r="14">
      <x:c r="A14" s="86"/>
      <x:c r="B14" s="86"/>
      <x:c r="C14" s="86"/>
      <x:c r="D14" s="86"/>
      <x:c r="E14" s="86"/>
      <x:c r="F14" s="86"/>
      <x:c r="G14" s="86"/>
      <x:c r="H14" s="86"/>
    </x:row>
    <x:row r="15">
      <x:c r="A15" s="86"/>
      <x:c r="B15" s="86"/>
      <x:c r="C15" s="86"/>
      <x:c r="D15" s="86"/>
      <x:c r="E15" s="86"/>
      <x:c r="F15" s="86"/>
      <x:c r="G15" s="86"/>
      <x:c r="H15" s="86"/>
    </x:row>
    <x:row r="16">
      <x:c r="A16" s="86"/>
      <x:c r="B16" s="86"/>
      <x:c r="C16" s="86"/>
      <x:c r="D16" s="86"/>
      <x:c r="E16" s="86"/>
      <x:c r="F16" s="86"/>
      <x:c r="G16" s="86"/>
      <x:c r="H16" s="86"/>
    </x:row>
    <x:row r="17">
      <x:c r="A17" s="86"/>
      <x:c r="B17" s="86"/>
      <x:c r="C17" s="86"/>
      <x:c r="D17" s="86"/>
      <x:c r="E17" s="86"/>
      <x:c r="F17" s="86"/>
      <x:c r="G17" s="86"/>
      <x:c r="H17" s="86"/>
    </x:row>
    <x:row r="18">
      <x:c r="A18" s="86"/>
      <x:c r="B18" s="86"/>
      <x:c r="C18" s="86"/>
      <x:c r="D18" s="86"/>
      <x:c r="E18" s="86"/>
      <x:c r="F18" s="86"/>
      <x:c r="G18" s="86"/>
      <x:c r="H18" s="86"/>
    </x:row>
    <x:row r="19">
      <x:c r="A19" s="86"/>
      <x:c r="B19" s="86"/>
      <x:c r="C19" s="86"/>
      <x:c r="D19" s="86"/>
      <x:c r="E19" s="86"/>
      <x:c r="F19" s="86"/>
      <x:c r="G19" s="86"/>
      <x:c r="H19" s="86"/>
    </x:row>
    <x:row r="20">
      <x:c r="A20" s="86"/>
      <x:c r="B20" s="86"/>
      <x:c r="C20" s="86"/>
      <x:c r="D20" s="86"/>
      <x:c r="E20" s="86"/>
      <x:c r="F20" s="86"/>
      <x:c r="G20" s="86"/>
      <x:c r="H20" s="86"/>
    </x:row>
    <x:row r="21">
      <x:c r="A21" s="86"/>
      <x:c r="B21" s="86"/>
      <x:c r="C21" s="86"/>
      <x:c r="D21" s="86"/>
      <x:c r="E21" s="86"/>
      <x:c r="F21" s="86"/>
      <x:c r="G21" s="86"/>
      <x:c r="H21" s="86"/>
    </x:row>
    <x:row r="22">
      <x:c r="A22" s="86"/>
      <x:c r="B22" s="86"/>
      <x:c r="C22" s="86"/>
      <x:c r="D22" s="86"/>
      <x:c r="E22" s="86"/>
      <x:c r="F22" s="86"/>
      <x:c r="G22" s="86"/>
      <x:c r="H22" s="86"/>
    </x:row>
    <x:row r="23">
      <x:c r="A23" s="86"/>
      <x:c r="B23" s="86"/>
      <x:c r="C23" s="86"/>
      <x:c r="D23" s="86"/>
      <x:c r="E23" s="86"/>
      <x:c r="F23" s="86"/>
      <x:c r="G23" s="86"/>
      <x:c r="H23" s="86"/>
    </x:row>
    <x:row r="24">
      <x:c r="A24" s="86"/>
      <x:c r="B24" s="86"/>
      <x:c r="C24" s="86"/>
      <x:c r="D24" s="86"/>
      <x:c r="E24" s="86"/>
      <x:c r="F24" s="86"/>
      <x:c r="G24" s="86"/>
      <x:c r="H24" s="86"/>
    </x:row>
    <x:row r="25">
      <x:c r="A25" s="86"/>
      <x:c r="B25" s="86"/>
      <x:c r="C25" s="86"/>
      <x:c r="D25" s="86"/>
      <x:c r="E25" s="86"/>
      <x:c r="F25" s="86"/>
      <x:c r="G25" s="86"/>
      <x:c r="H25" s="86"/>
    </x:row>
    <x:row r="26">
      <x:c r="A26" s="86"/>
      <x:c r="B26" s="86"/>
      <x:c r="C26" s="86"/>
      <x:c r="D26" s="86"/>
      <x:c r="E26" s="86"/>
      <x:c r="F26" s="86"/>
      <x:c r="G26" s="86"/>
      <x:c r="H26" s="86"/>
    </x:row>
    <x:row r="27">
      <x:c r="A27" s="86"/>
      <x:c r="B27" s="86"/>
      <x:c r="C27" s="86"/>
      <x:c r="D27" s="86"/>
      <x:c r="E27" s="86"/>
      <x:c r="F27" s="86"/>
      <x:c r="G27" s="86"/>
      <x:c r="H27" s="86"/>
    </x:row>
    <x:row r="28">
      <x:c r="A28" s="86"/>
      <x:c r="B28" s="86"/>
      <x:c r="C28" s="86"/>
      <x:c r="D28" s="86"/>
      <x:c r="E28" s="86"/>
      <x:c r="F28" s="86"/>
      <x:c r="G28" s="86"/>
      <x:c r="H28" s="86"/>
    </x:row>
    <x:row r="29">
      <x:c r="A29" s="86"/>
      <x:c r="B29" s="86"/>
      <x:c r="C29" s="86"/>
      <x:c r="D29" s="86"/>
      <x:c r="E29" s="86"/>
      <x:c r="F29" s="86"/>
      <x:c r="G29" s="86"/>
      <x:c r="H29" s="86"/>
    </x:row>
    <x:row r="30">
      <x:c r="A30" s="86"/>
      <x:c r="B30" s="86"/>
      <x:c r="C30" s="86"/>
      <x:c r="D30" s="86"/>
      <x:c r="E30" s="86"/>
      <x:c r="F30" s="86"/>
      <x:c r="G30" s="86"/>
      <x:c r="H30" s="86"/>
    </x:row>
  </x:sheetData>
  <x:mergeCells>
    <x:mergeCell ref="A1:H1"/>
  </x:mergeCells>
  <x:dataValidations count="1">
    <x:dataValidation type="list" sqref="H4:H12">
      <x:formula1>"No iniciado,En curso,Completado,Bloqueado"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24" hidden="0" customWidth="1"/>
    <x:col min="4" max="4" width="40" hidden="0" customWidth="1"/>
  </x:cols>
  <x:sheetData>
    <x:row r="1">
      <x:c r="A1" s="110" t="str">
        <x:v>Supuestos y criterios de estimación</x:v>
      </x:c>
      <x:c r="B1" s="110"/>
      <x:c r="C1" s="110"/>
      <x:c r="D1" s="110"/>
      <x:c r="E1" s="86"/>
      <x:c r="F1" s="86"/>
      <x:c r="G1" s="86"/>
      <x:c r="H1" s="86"/>
    </x:row>
    <x:row r="2">
      <x:c r="A2" s="86"/>
      <x:c r="B2" s="86"/>
      <x:c r="C2" s="86"/>
      <x:c r="D2" s="86"/>
      <x:c r="E2" s="86"/>
      <x:c r="F2" s="86"/>
      <x:c r="G2" s="86"/>
      <x:c r="H2" s="86"/>
    </x:row>
    <x:row r="3">
      <x:c r="A3" s="208" t="str">
        <x:v>Ítem</x:v>
      </x:c>
      <x:c r="B3" s="209" t="str">
        <x:v>Valor / criterio</x:v>
      </x:c>
      <x:c r="C3" s="209" t="str">
        <x:v>Tipo</x:v>
      </x:c>
      <x:c r="D3" s="210" t="str">
        <x:v>Observación</x:v>
      </x:c>
      <x:c r="E3" s="86"/>
      <x:c r="F3" s="86"/>
      <x:c r="G3" s="86"/>
      <x:c r="H3" s="86"/>
    </x:row>
    <x:row r="4">
      <x:c r="A4" s="211" t="str">
        <x:v>Duración del proyecto</x:v>
      </x:c>
      <x:c r="B4" s="154" t="str">
        <x:v>18 semanas / 9 Sprints</x:v>
      </x:c>
      <x:c r="C4" s="154" t="str">
        <x:v>Definido</x:v>
      </x:c>
      <x:c r="D4" s="180" t="str">
        <x:v>Planificación oficial SIGET</x:v>
      </x:c>
      <x:c r="E4" s="86"/>
      <x:c r="F4" s="86"/>
      <x:c r="G4" s="86"/>
      <x:c r="H4" s="86"/>
    </x:row>
    <x:row r="5">
      <x:c r="A5" s="211" t="str">
        <x:v>Equipo</x:v>
      </x:c>
      <x:c r="B5" s="154" t="str">
        <x:v>3 integrantes</x:v>
      </x:c>
      <x:c r="C5" s="154" t="str">
        <x:v>Definido</x:v>
      </x:c>
      <x:c r="D5" s="180" t="str">
        <x:v>Joaquín, Diego e Ignacio</x:v>
      </x:c>
      <x:c r="E5" s="86"/>
      <x:c r="F5" s="86"/>
      <x:c r="G5" s="86"/>
      <x:c r="H5" s="86"/>
    </x:row>
    <x:row r="6">
      <x:c r="A6" s="211" t="str">
        <x:v>HH totales</x:v>
      </x:c>
      <x:c r="B6" s="154" t="str">
        <x:v>900 HH</x:v>
      </x:c>
      <x:c r="C6" s="154" t="str">
        <x:v>Definido</x:v>
      </x:c>
      <x:c r="D6" s="180" t="str">
        <x:v>300 HH por integrante</x:v>
      </x:c>
      <x:c r="E6" s="86"/>
      <x:c r="F6" s="86"/>
      <x:c r="G6" s="86"/>
      <x:c r="H6" s="86"/>
    </x:row>
    <x:row r="7">
      <x:c r="A7" s="211" t="str">
        <x:v>Dedicación promedio</x:v>
      </x:c>
      <x:c r="B7" s="154" t="str">
        <x:v>≈16,7 HH/semana por integrante</x:v>
      </x:c>
      <x:c r="C7" s="154" t="str">
        <x:v>Derivado</x:v>
      </x:c>
      <x:c r="D7" s="180" t="str">
        <x:v>300 HH / 18 semanas</x:v>
      </x:c>
      <x:c r="E7" s="86"/>
      <x:c r="F7" s="86"/>
      <x:c r="G7" s="86"/>
      <x:c r="H7" s="86"/>
    </x:row>
    <x:row r="8">
      <x:c r="A8" s="211" t="str">
        <x:v>Tarifa referencial</x:v>
      </x:c>
      <x:c r="B8" s="154" t="str">
        <x:v>$15.000 CLP/HH</x:v>
      </x:c>
      <x:c r="C8" s="154" t="str">
        <x:v>Supuesto de valorización</x:v>
      </x:c>
      <x:c r="D8" s="180" t="str">
        <x:v>No representa remuneración real</x:v>
      </x:c>
      <x:c r="E8" s="86"/>
      <x:c r="F8" s="86"/>
      <x:c r="G8" s="86"/>
      <x:c r="H8" s="86"/>
    </x:row>
    <x:row r="9">
      <x:c r="A9" s="211" t="str">
        <x:v>Presupuesto base</x:v>
      </x:c>
      <x:c r="B9" s="154" t="str">
        <x:v>$16.000.000 CLP</x:v>
      </x:c>
      <x:c r="C9" s="154" t="str">
        <x:v>Definido</x:v>
      </x:c>
      <x:c r="D9" s="180" t="str">
        <x:v>Separado de la contingencia</x:v>
      </x:c>
      <x:c r="E9" s="86"/>
      <x:c r="F9" s="86"/>
      <x:c r="G9" s="86"/>
      <x:c r="H9" s="86"/>
    </x:row>
    <x:row r="10">
      <x:c r="A10" s="212" t="str">
        <x:v>Contingencia</x:v>
      </x:c>
      <x:c r="B10" s="213" t="str">
        <x:v>10% adicional = $1.600.000 CLP</x:v>
      </x:c>
      <x:c r="C10" s="213" t="str">
        <x:v>Definido</x:v>
      </x:c>
      <x:c r="D10" s="214" t="str">
        <x:v>Solo emergencias o variaciones justificadas</x:v>
      </x:c>
      <x:c r="E10" s="86"/>
      <x:c r="F10" s="86"/>
      <x:c r="G10" s="86"/>
      <x:c r="H10" s="86"/>
    </x:row>
    <x:row r="11">
      <x:c r="A11" s="86"/>
      <x:c r="B11" s="86"/>
      <x:c r="C11" s="86"/>
      <x:c r="D11" s="86"/>
      <x:c r="E11" s="86"/>
      <x:c r="F11" s="86"/>
      <x:c r="G11" s="86"/>
      <x:c r="H11" s="86"/>
    </x:row>
    <x:row r="12">
      <x:c r="A12" s="139" t="str">
        <x:v>Referencia metodológica: una planilla TEC separa tiempo, esfuerzo y costo; las plantillas de proyectos TI suelen relacionar fases, HH, tasas laborales, costos adicionales y total del proyecto.</x:v>
      </x:c>
      <x:c r="B12" s="139"/>
      <x:c r="C12" s="139"/>
      <x:c r="D12" s="139"/>
      <x:c r="E12" s="86"/>
      <x:c r="F12" s="86"/>
      <x:c r="G12" s="86"/>
      <x:c r="H12" s="86"/>
    </x:row>
    <x:row r="13">
      <x:c r="A13" s="86" t="str">
        <x:v>Fuentes de referencia: https://es.scribd.com/document/725105335/PlanillaTEC | https://es.smartsheet.com/content/project-cost-templates</x:v>
      </x:c>
      <x:c r="B13" s="86"/>
      <x:c r="C13" s="86"/>
      <x:c r="D13" s="86"/>
      <x:c r="E13" s="86"/>
      <x:c r="F13" s="86"/>
      <x:c r="G13" s="86"/>
      <x:c r="H13" s="86"/>
    </x:row>
    <x:row r="14">
      <x:c r="A14" s="86"/>
      <x:c r="B14" s="86"/>
      <x:c r="C14" s="86"/>
      <x:c r="D14" s="86"/>
      <x:c r="E14" s="86"/>
      <x:c r="F14" s="86"/>
      <x:c r="G14" s="86"/>
      <x:c r="H14" s="86"/>
    </x:row>
    <x:row r="15">
      <x:c r="A15" s="86"/>
      <x:c r="B15" s="86"/>
      <x:c r="C15" s="86"/>
      <x:c r="D15" s="86"/>
      <x:c r="E15" s="86"/>
      <x:c r="F15" s="86"/>
      <x:c r="G15" s="86"/>
      <x:c r="H15" s="86"/>
    </x:row>
    <x:row r="16">
      <x:c r="A16" s="86"/>
      <x:c r="B16" s="86"/>
      <x:c r="C16" s="86"/>
      <x:c r="D16" s="86"/>
      <x:c r="E16" s="86"/>
      <x:c r="F16" s="86"/>
      <x:c r="G16" s="86"/>
      <x:c r="H16" s="86"/>
    </x:row>
    <x:row r="17">
      <x:c r="A17" s="86"/>
      <x:c r="B17" s="86"/>
      <x:c r="C17" s="86"/>
      <x:c r="D17" s="86"/>
      <x:c r="E17" s="86"/>
      <x:c r="F17" s="86"/>
      <x:c r="G17" s="86"/>
      <x:c r="H17" s="86"/>
    </x:row>
    <x:row r="18">
      <x:c r="A18" s="86"/>
      <x:c r="B18" s="86"/>
      <x:c r="C18" s="86"/>
      <x:c r="D18" s="86"/>
      <x:c r="E18" s="86"/>
      <x:c r="F18" s="86"/>
      <x:c r="G18" s="86"/>
      <x:c r="H18" s="86"/>
    </x:row>
    <x:row r="19">
      <x:c r="A19" s="86"/>
      <x:c r="B19" s="86"/>
      <x:c r="C19" s="86"/>
      <x:c r="D19" s="86"/>
      <x:c r="E19" s="86"/>
      <x:c r="F19" s="86"/>
      <x:c r="G19" s="86"/>
      <x:c r="H19" s="86"/>
    </x:row>
    <x:row r="20">
      <x:c r="A20" s="86"/>
      <x:c r="B20" s="86"/>
      <x:c r="C20" s="86"/>
      <x:c r="D20" s="86"/>
      <x:c r="E20" s="86"/>
      <x:c r="F20" s="86"/>
      <x:c r="G20" s="86"/>
      <x:c r="H20" s="86"/>
    </x:row>
    <x:row r="21">
      <x:c r="A21" s="86"/>
      <x:c r="B21" s="86"/>
      <x:c r="C21" s="86"/>
      <x:c r="D21" s="86"/>
      <x:c r="E21" s="86"/>
      <x:c r="F21" s="86"/>
      <x:c r="G21" s="86"/>
      <x:c r="H21" s="86"/>
    </x:row>
    <x:row r="22">
      <x:c r="A22" s="86"/>
      <x:c r="B22" s="86"/>
      <x:c r="C22" s="86"/>
      <x:c r="D22" s="86"/>
      <x:c r="E22" s="86"/>
      <x:c r="F22" s="86"/>
      <x:c r="G22" s="86"/>
      <x:c r="H22" s="86"/>
    </x:row>
    <x:row r="23">
      <x:c r="A23" s="86"/>
      <x:c r="B23" s="86"/>
      <x:c r="C23" s="86"/>
      <x:c r="D23" s="86"/>
      <x:c r="E23" s="86"/>
      <x:c r="F23" s="86"/>
      <x:c r="G23" s="86"/>
      <x:c r="H23" s="86"/>
    </x:row>
    <x:row r="24">
      <x:c r="A24" s="86"/>
      <x:c r="B24" s="86"/>
      <x:c r="C24" s="86"/>
      <x:c r="D24" s="86"/>
      <x:c r="E24" s="86"/>
      <x:c r="F24" s="86"/>
      <x:c r="G24" s="86"/>
      <x:c r="H24" s="86"/>
    </x:row>
    <x:row r="25">
      <x:c r="A25" s="86"/>
      <x:c r="B25" s="86"/>
      <x:c r="C25" s="86"/>
      <x:c r="D25" s="86"/>
      <x:c r="E25" s="86"/>
      <x:c r="F25" s="86"/>
      <x:c r="G25" s="86"/>
      <x:c r="H25" s="86"/>
    </x:row>
    <x:row r="26">
      <x:c r="A26" s="86"/>
      <x:c r="B26" s="86"/>
      <x:c r="C26" s="86"/>
      <x:c r="D26" s="86"/>
      <x:c r="E26" s="86"/>
      <x:c r="F26" s="86"/>
      <x:c r="G26" s="86"/>
      <x:c r="H26" s="86"/>
    </x:row>
    <x:row r="27">
      <x:c r="A27" s="86"/>
      <x:c r="B27" s="86"/>
      <x:c r="C27" s="86"/>
      <x:c r="D27" s="86"/>
      <x:c r="E27" s="86"/>
      <x:c r="F27" s="86"/>
      <x:c r="G27" s="86"/>
      <x:c r="H27" s="86"/>
    </x:row>
    <x:row r="28">
      <x:c r="A28" s="86"/>
      <x:c r="B28" s="86"/>
      <x:c r="C28" s="86"/>
      <x:c r="D28" s="86"/>
      <x:c r="E28" s="86"/>
      <x:c r="F28" s="86"/>
      <x:c r="G28" s="86"/>
      <x:c r="H28" s="86"/>
    </x:row>
    <x:row r="29">
      <x:c r="A29" s="86"/>
      <x:c r="B29" s="86"/>
      <x:c r="C29" s="86"/>
      <x:c r="D29" s="86"/>
      <x:c r="E29" s="86"/>
      <x:c r="F29" s="86"/>
      <x:c r="G29" s="86"/>
      <x:c r="H29" s="86"/>
    </x:row>
    <x:row r="30">
      <x:c r="A30" s="86"/>
      <x:c r="B30" s="86"/>
      <x:c r="C30" s="86"/>
      <x:c r="D30" s="86"/>
      <x:c r="E30" s="86"/>
      <x:c r="F30" s="86"/>
      <x:c r="G30" s="86"/>
      <x:c r="H30" s="86"/>
    </x:row>
  </x:sheetData>
  <x:mergeCells>
    <x:mergeCell ref="A1:D1"/>
    <x:mergeCell ref="A12:D12"/>
    <x:mergeCell ref="A13:D13"/>
  </x:mergeCells>
  <x:pageMargins left="0.7" right="0.7" top="0.75" bottom="0.75" header="0.3" footer="0.3"/>
</x:worksheet>
</file>