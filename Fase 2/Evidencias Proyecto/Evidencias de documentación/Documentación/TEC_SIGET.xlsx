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Resumen TEC" sheetId="1" state="visible" r:id="rId1"/>
    <sheet name="HH por Integrante" sheetId="2" state="visible" r:id="rId2"/>
    <sheet name="Esfuerzo por Fase" sheetId="3" state="visible" r:id="rId3"/>
    <sheet name="Costos y Presupuesto" sheetId="4" state="visible" r:id="rId4"/>
    <sheet name="Seguimiento por Sprint" sheetId="5" state="visible" r:id="rId5"/>
    <sheet name="Supuestos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<sst xmlns="http://schemas.openxmlformats.org/spreadsheetml/2006/main" count="134" uniqueCount="134">
  <si>
    <t xml:space="preserve">SIGET — Planilla de Tiempo, Esfuerzo y Costo (TEC)</t>
  </si>
  <si>
    <t>Proyecto</t>
  </si>
  <si>
    <t xml:space="preserve">SIGET — Sistema Integral de Gestión de Equipos y Soporte Tecnológico</t>
  </si>
  <si>
    <t xml:space="preserve">Resumen presupuestario</t>
  </si>
  <si>
    <t>CLP</t>
  </si>
  <si>
    <t>Duración</t>
  </si>
  <si>
    <t xml:space="preserve">18 semanas / 9 Sprints</t>
  </si>
  <si>
    <t xml:space="preserve">Costos planificados identificados</t>
  </si>
  <si>
    <t>Equipo</t>
  </si>
  <si>
    <t xml:space="preserve">Joaquín Riquelme · Diego Alcaíno · Ignacio Troncoso</t>
  </si>
  <si>
    <t xml:space="preserve">Saldo no asignado presupuesto base</t>
  </si>
  <si>
    <t xml:space="preserve">HH planificadas</t>
  </si>
  <si>
    <t xml:space="preserve">Presupuesto base</t>
  </si>
  <si>
    <t xml:space="preserve">Tarifa referencial</t>
  </si>
  <si>
    <t xml:space="preserve">Contingencia adicional</t>
  </si>
  <si>
    <t xml:space="preserve">Costo HH</t>
  </si>
  <si>
    <t xml:space="preserve">Reserva de contingencia</t>
  </si>
  <si>
    <t xml:space="preserve">Máximo con contingencia</t>
  </si>
  <si>
    <t xml:space="preserve">Criterio TEC aplicado</t>
  </si>
  <si>
    <t xml:space="preserve">La planilla separa tiempo, esfuerzo (HH) y costo. Las 900 HH corresponden a 300 HH por integrante durante 18 semanas (≈16,7 HH/semana por integrante). La tarifa de $15.000 CLP/HH es referencial. El presupuesto base de $16.000.000 CLP se mantiene separado de una contingencia adicional del 10% ($1.600.000), por lo que el máximo con contingencia es $17.600.000 CLP.</t>
  </si>
  <si>
    <t xml:space="preserve">Estimación de Horas-Hombre por integrante</t>
  </si>
  <si>
    <t>Integrante</t>
  </si>
  <si>
    <t xml:space="preserve">Rol principal en SIGET</t>
  </si>
  <si>
    <t xml:space="preserve">HH estimadas</t>
  </si>
  <si>
    <t xml:space="preserve">Tarifa CLP/HH</t>
  </si>
  <si>
    <t xml:space="preserve">Costo estimado</t>
  </si>
  <si>
    <t xml:space="preserve">Joaquín Riquelme</t>
  </si>
  <si>
    <t xml:space="preserve">Product Owner / Gerente de Proyecto / Desarrollador</t>
  </si>
  <si>
    <t xml:space="preserve">Diego Alcaíno</t>
  </si>
  <si>
    <t xml:space="preserve">Scrum Master / Frontend / UX / Documentación</t>
  </si>
  <si>
    <t xml:space="preserve">Ignacio Troncoso</t>
  </si>
  <si>
    <t xml:space="preserve">Developer / Web / PySide6 / Docker</t>
  </si>
  <si>
    <t>TOTAL</t>
  </si>
  <si>
    <t xml:space="preserve">Distribución inicial del esfuerzo TEC — SIGET</t>
  </si>
  <si>
    <t xml:space="preserve">Fase / actividad</t>
  </si>
  <si>
    <t xml:space="preserve">Joaquín HH</t>
  </si>
  <si>
    <t xml:space="preserve">Diego HH</t>
  </si>
  <si>
    <t xml:space="preserve">Ignacio HH</t>
  </si>
  <si>
    <t xml:space="preserve">Total HH</t>
  </si>
  <si>
    <t xml:space="preserve">% esfuerzo</t>
  </si>
  <si>
    <t xml:space="preserve">Requerimientos y planificación</t>
  </si>
  <si>
    <t xml:space="preserve">Arquitectura y diseño</t>
  </si>
  <si>
    <t xml:space="preserve">Base de datos</t>
  </si>
  <si>
    <t xml:space="preserve">Backend y APIs</t>
  </si>
  <si>
    <t xml:space="preserve">Plataforma Web</t>
  </si>
  <si>
    <t xml:space="preserve">Aplicación Escritorio PySide6</t>
  </si>
  <si>
    <t xml:space="preserve">QA, seguridad e integración</t>
  </si>
  <si>
    <t xml:space="preserve">Documentación y despliegue</t>
  </si>
  <si>
    <t xml:space="preserve">Estimación de Costos — SIGET</t>
  </si>
  <si>
    <t>Concepto</t>
  </si>
  <si>
    <t xml:space="preserve">Base de cálculo</t>
  </si>
  <si>
    <t xml:space="preserve">Estimación CLP</t>
  </si>
  <si>
    <t>Observación</t>
  </si>
  <si>
    <t xml:space="preserve">Desarrollo — 3 integrantes</t>
  </si>
  <si>
    <t xml:space="preserve">900 HH × $15.000/HH</t>
  </si>
  <si>
    <t xml:space="preserve">Valorización referencial del esfuerzo</t>
  </si>
  <si>
    <t xml:space="preserve">Hosting/servidor e infraestructura</t>
  </si>
  <si>
    <t xml:space="preserve">Estimación del proyecto</t>
  </si>
  <si>
    <t xml:space="preserve">Infraestructura de desarrollo/despliegue</t>
  </si>
  <si>
    <t xml:space="preserve">Dominio, correo y servicios externos/APIs</t>
  </si>
  <si>
    <t xml:space="preserve">Servicios tecnológicos externos</t>
  </si>
  <si>
    <t xml:space="preserve">Equipamiento/periféricos y pruebas</t>
  </si>
  <si>
    <t xml:space="preserve">QR, periféricos y validación</t>
  </si>
  <si>
    <t xml:space="preserve">Herramientas/licencias base</t>
  </si>
  <si>
    <t xml:space="preserve">Tecnologías open source</t>
  </si>
  <si>
    <t xml:space="preserve">Costo de licenciamiento estimado en $0 por el Stack base de código abierto.</t>
  </si>
  <si>
    <t xml:space="preserve">Suma de costos actualmente fundamentados</t>
  </si>
  <si>
    <t xml:space="preserve">$16.000.000 - costos identificados</t>
  </si>
  <si>
    <t xml:space="preserve">Holgura del presupuesto base; no es contingencia</t>
  </si>
  <si>
    <t xml:space="preserve">PRESUPUESTO BASE</t>
  </si>
  <si>
    <t xml:space="preserve">Monto base definido para SIGET</t>
  </si>
  <si>
    <t xml:space="preserve">10% del presupuesto base</t>
  </si>
  <si>
    <t xml:space="preserve">Uso exclusivo ante emergencias/variaciones justificadas</t>
  </si>
  <si>
    <t xml:space="preserve">PRESUPUESTO MÁXIMO</t>
  </si>
  <si>
    <t xml:space="preserve">Base + contingencia</t>
  </si>
  <si>
    <t xml:space="preserve">Máximo si se utiliza el 100% de la reserva</t>
  </si>
  <si>
    <t xml:space="preserve">Nota: el saldo no asignado dentro del presupuesto base no debe confundirse con la reserva de contingencia adicional del 10%.</t>
  </si>
  <si>
    <t xml:space="preserve">Seguimiento TEC por Sprint — editable durante la ejecución</t>
  </si>
  <si>
    <t>Sprint</t>
  </si>
  <si>
    <t xml:space="preserve">Periodo / foco</t>
  </si>
  <si>
    <t xml:space="preserve">HH reales</t>
  </si>
  <si>
    <t xml:space="preserve">Desviación HH</t>
  </si>
  <si>
    <t xml:space="preserve">Costo planificado</t>
  </si>
  <si>
    <t xml:space="preserve">Costo real</t>
  </si>
  <si>
    <t>Estado</t>
  </si>
  <si>
    <t xml:space="preserve">Sprint 1</t>
  </si>
  <si>
    <t xml:space="preserve">Definición y fundamentación del Proyecto APT</t>
  </si>
  <si>
    <t>Completado</t>
  </si>
  <si>
    <t xml:space="preserve">Sprint 2</t>
  </si>
  <si>
    <t xml:space="preserve">Backlog, HU, arquitectura, RNF y mockups</t>
  </si>
  <si>
    <t xml:space="preserve">Sprint 3</t>
  </si>
  <si>
    <t xml:space="preserve">Transición: repositorio, Docker, PostgreSQL y arquitectura inicial</t>
  </si>
  <si>
    <t xml:space="preserve">Sprint 4</t>
  </si>
  <si>
    <t xml:space="preserve">Autenticación/acceso, RBAC, activos y solicitud inicial de asignación</t>
  </si>
  <si>
    <t xml:space="preserve">Completado con alcance parcial</t>
  </si>
  <si>
    <t xml:space="preserve">Sprint 5</t>
  </si>
  <si>
    <t xml:space="preserve">Ciclo inicial de asignaciones, entrega, devolución, evaluación y ticket inicial</t>
  </si>
  <si>
    <t/>
  </si>
  <si>
    <t xml:space="preserve">En curso</t>
  </si>
  <si>
    <t xml:space="preserve">Sprint 6</t>
  </si>
  <si>
    <t xml:space="preserve">Trazabilidad, tickets, diagnóstico, OT en PySide6 y correo transaccional</t>
  </si>
  <si>
    <t xml:space="preserve">No iniciado</t>
  </si>
  <si>
    <t xml:space="preserve">Sprint 7</t>
  </si>
  <si>
    <t xml:space="preserve">Taller, reparación, repuestos, stock e identificación QR/barra</t>
  </si>
  <si>
    <t xml:space="preserve">Sprint 8</t>
  </si>
  <si>
    <t xml:space="preserve">QR, reportería/SLA, auditoría, notificaciones, CSAT y consolidación de seguridad</t>
  </si>
  <si>
    <t xml:space="preserve">Sprint 9</t>
  </si>
  <si>
    <t xml:space="preserve">QA integral, estabilización, documentación y cierre</t>
  </si>
  <si>
    <t xml:space="preserve">Supuestos y criterios de estimación</t>
  </si>
  <si>
    <t>Ítem</t>
  </si>
  <si>
    <t xml:space="preserve">Valor / criterio</t>
  </si>
  <si>
    <t>Tipo</t>
  </si>
  <si>
    <t xml:space="preserve">Duración del proyecto</t>
  </si>
  <si>
    <t>Definido</t>
  </si>
  <si>
    <t xml:space="preserve">Planificación oficial SIGET</t>
  </si>
  <si>
    <t xml:space="preserve">3 integrantes</t>
  </si>
  <si>
    <t xml:space="preserve">Joaquín, Diego e Ignacio</t>
  </si>
  <si>
    <t xml:space="preserve">HH totales</t>
  </si>
  <si>
    <t xml:space="preserve">900 HH</t>
  </si>
  <si>
    <t xml:space="preserve">300 HH por integrante</t>
  </si>
  <si>
    <t xml:space="preserve">Dedicación promedio</t>
  </si>
  <si>
    <t xml:space="preserve">≈16,7 HH/semana por integrante</t>
  </si>
  <si>
    <t>Derivado</t>
  </si>
  <si>
    <t xml:space="preserve">300 HH / 18 semanas</t>
  </si>
  <si>
    <t xml:space="preserve">$15.000 CLP/HH</t>
  </si>
  <si>
    <t xml:space="preserve">Supuesto de valorización</t>
  </si>
  <si>
    <t xml:space="preserve">No representa remuneración real</t>
  </si>
  <si>
    <t xml:space="preserve">$16.000.000 CLP</t>
  </si>
  <si>
    <t xml:space="preserve">Separado de la contingencia</t>
  </si>
  <si>
    <t>Contingencia</t>
  </si>
  <si>
    <t xml:space="preserve">10% adicional = $1.600.000 CLP</t>
  </si>
  <si>
    <t xml:space="preserve">Solo emergencias o variaciones justificadas</t>
  </si>
  <si>
    <t xml:space="preserve">Referencia metodológica: una planilla TEC separa tiempo, esfuerzo y costo; las plantillas de proyectos TI suelen relacionar fases, HH, tasas laborales, costos adicionales y total del proyecto.</t>
  </si>
  <si>
    <t xml:space="preserve">Fuentes de referencia: https://es.scribd.com/document/725105335/PlanillaTEC | https://es.smartsheet.com/content/project-cost-templates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</si>
</sst>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$#,##0"/>
    <numFmt numFmtId="165" formatCode="0 &quot;HH&quot;"/>
    <numFmt numFmtId="166" formatCode="0.0%"/>
    <numFmt numFmtId="167" formatCode="0.0&quot; HH&quot;"/>
    <numFmt numFmtId="168" formatCode="0"/>
    <numFmt numFmtId="169" formatCode="0.0&quot; HH/semana&quot;"/>
    <numFmt numFmtId="170" formatCode="dd/mm/yyyy"/>
  </numFmts>
  <fonts count="170">
    <font>
      <sz val="11.000000"/>
      <name val="Carlito"/>
    </font>
    <font>
      <b/>
      <sz val="16.000000"/>
      <color indexed="65"/>
      <name val="Carlito"/>
    </font>
    <font>
      <b/>
      <sz val="11.000000"/>
      <name val="Carlito"/>
    </font>
    <font>
      <b/>
      <sz val="11.000000"/>
      <color indexed="65"/>
      <name val="Carlito"/>
    </font>
    <font>
      <b/>
      <sz val="14.000000"/>
      <color indexed="65"/>
      <name val="Carlito"/>
    </font>
    <font>
      <i/>
      <sz val="11.000000"/>
      <name val="Carlito"/>
    </font>
    <font>
      <b/>
      <sz val="12.000000"/>
      <color indexed="64"/>
      <name val="Times New Roman"/>
    </font>
    <font>
      <sz val="12.000000"/>
      <color indexed="64"/>
      <name val="Times New Roman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b/>
      <name val="Carlito"/>
      <sz val="11"/>
    </font>
    <font>
      <b/>
      <name val="Carlito"/>
      <sz val="11"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name val="Carlito"/>
      <sz val="11"/>
      <b/>
      <color rgb="FFFFFFFF"/>
    </font>
    <font>
      <name val="Carlito"/>
      <sz val="11"/>
      <b/>
      <color rgb="FFFFFFFF"/>
    </font>
    <font>
      <name val="Carlito"/>
      <sz val="11"/>
      <b/>
      <color rgb="FFFFFFFF"/>
    </font>
    <font>
      <name val="Carlito"/>
      <sz val="11"/>
      <b/>
      <color rgb="FFFFFFFF"/>
    </font>
    <font>
      <name val="Carlito"/>
      <sz val="11"/>
      <b/>
      <color rgb="FFFFFFFF"/>
    </font>
    <font>
      <name val="Carlito"/>
      <sz val="11"/>
      <b/>
      <color rgb="FFFFFFFF"/>
    </font>
    <font>
      <b/>
      <name val="Carlito"/>
      <sz val="11"/>
    </font>
    <font>
      <name val="Carlito"/>
      <sz val="11"/>
    </font>
    <font>
      <name val="Carlito"/>
      <sz val="11"/>
    </font>
    <font>
      <b/>
      <name val="Carlito"/>
      <sz val="11"/>
    </font>
    <font>
      <name val="Carlito"/>
      <sz val="11"/>
    </font>
    <font>
      <name val="Carlito"/>
      <sz val="11"/>
    </font>
    <font>
      <b/>
      <name val="Carlito"/>
      <sz val="11"/>
    </font>
    <font>
      <name val="Carlito"/>
      <sz val="11"/>
    </font>
    <font>
      <name val="Carlito"/>
      <sz val="11"/>
    </font>
    <font>
      <b/>
      <name val="Carlito"/>
      <sz val="11"/>
    </font>
    <font>
      <name val="Carlito"/>
      <sz val="11"/>
    </font>
    <font>
      <name val="Carlito"/>
      <sz val="11"/>
    </font>
    <font>
      <b/>
      <name val="Carlito"/>
      <sz val="11"/>
    </font>
    <font>
      <name val="Carlito"/>
      <sz val="11"/>
    </font>
    <font>
      <name val="Carlito"/>
      <sz val="11"/>
    </font>
    <font>
      <b/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b/>
      <name val="Carlito"/>
      <sz val="11"/>
    </font>
    <font>
      <b/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b/>
      <name val="Carlito"/>
      <sz val="11"/>
    </font>
    <font>
      <name val="Carlito"/>
      <sz val="11"/>
    </font>
    <font>
      <name val="Carlito"/>
      <sz val="11"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b/>
      <name val="Carlito"/>
      <sz val="11"/>
    </font>
    <font>
      <name val="Carlito"/>
      <sz val="11"/>
    </font>
    <font>
      <name val="Carlito"/>
      <sz val="11"/>
      <b/>
    </font>
    <font>
      <name val="Carlito"/>
      <sz val="11"/>
      <b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i/>
      <name val="Carlito"/>
      <sz val="11"/>
    </font>
    <font>
      <name val="Carlito"/>
      <sz val="11"/>
      <b/>
      <color rgb="FFFFFFFF"/>
    </font>
    <font>
      <name val="Carlito"/>
      <sz val="11"/>
      <b/>
      <color rgb="FFFFFFFF"/>
    </font>
    <font>
      <name val="Carlito"/>
      <sz val="11"/>
      <b/>
      <color rgb="FFFFFFFF"/>
    </font>
    <font>
      <name val="Carlito"/>
      <sz val="11"/>
      <b/>
      <color rgb="FFFFFFFF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b/>
      <name val="Carlito"/>
      <sz val="11"/>
    </font>
    <font>
      <name val="Carlito"/>
      <sz val="11"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name val="Carlito"/>
      <sz val="11"/>
      <b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  <font>
      <b/>
      <name val="Carlito"/>
      <sz val="11"/>
    </font>
  </fonts>
  <fills count="4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2F0D9"/>
        <bgColor indexed="64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96">
    <xf fontId="0" fillId="0" borderId="0" numFmtId="0" xfId="0"/>
    <xf fontId="1" fillId="2" borderId="0" numFmtId="0" xfId="0" applyFont="1" applyFill="1" applyAlignment="1">
      <alignment horizontal="center" vertical="center" wrapText="1"/>
    </xf>
    <xf fontId="0" fillId="0" borderId="0" numFmtId="0" xfId="0" applyAlignment="1">
      <alignment vertical="center" wrapText="1"/>
    </xf>
    <xf fontId="2" fillId="3" borderId="0" numFmtId="0" xfId="0" applyFont="1" applyFill="1" applyAlignment="1">
      <alignment vertical="center" wrapText="1"/>
    </xf>
    <xf fontId="3" fillId="4" borderId="0" numFmtId="0" xfId="0" applyFont="1" applyFill="1" applyAlignment="1">
      <alignment vertical="center" wrapText="1"/>
    </xf>
    <xf fontId="2" fillId="5" borderId="0" numFmtId="0" xfId="0" applyFont="1" applyFill="1" applyAlignment="1">
      <alignment vertical="center" wrapText="1"/>
    </xf>
    <xf fontId="0" fillId="0" borderId="0" numFmtId="164" xfId="0" applyNumberFormat="1" applyAlignment="1">
      <alignment vertical="center" wrapText="1"/>
    </xf>
    <xf fontId="0" fillId="0" borderId="0" numFmtId="165" xfId="0" applyNumberFormat="1" applyAlignment="1">
      <alignment vertical="center" wrapText="1"/>
    </xf>
    <xf fontId="0" fillId="0" borderId="0" numFmtId="9" xfId="0" applyNumberFormat="1" applyAlignment="1">
      <alignment vertical="center" wrapText="1"/>
    </xf>
    <xf fontId="2" fillId="6" borderId="0" numFmtId="0" xfId="0" applyFont="1" applyFill="1" applyAlignment="1">
      <alignment vertical="center" wrapText="1"/>
    </xf>
    <xf fontId="2" fillId="6" borderId="0" numFmtId="164" xfId="0" applyNumberFormat="1" applyFont="1" applyFill="1" applyAlignment="1">
      <alignment vertical="center" wrapText="1"/>
    </xf>
    <xf fontId="4" fillId="2" borderId="0" numFmtId="0" xfId="0" applyFont="1" applyFill="1" applyAlignment="1">
      <alignment horizontal="center" vertical="center" wrapText="1"/>
    </xf>
    <xf fontId="3" fillId="4" borderId="0" numFmtId="0" xfId="0" applyFont="1" applyFill="1" applyAlignment="1">
      <alignment horizontal="center" vertical="center" wrapText="1"/>
    </xf>
    <xf fontId="2" fillId="6" borderId="0" numFmtId="165" xfId="0" applyNumberFormat="1" applyFont="1" applyFill="1" applyAlignment="1">
      <alignment vertical="center" wrapText="1"/>
    </xf>
    <xf fontId="0" fillId="0" borderId="0" numFmtId="166" xfId="0" applyNumberFormat="1" applyAlignment="1">
      <alignment vertical="center" wrapText="1"/>
    </xf>
    <xf fontId="2" fillId="6" borderId="0" numFmtId="166" xfId="0" applyNumberFormat="1" applyFont="1" applyFill="1" applyAlignment="1">
      <alignment vertical="center" wrapText="1"/>
    </xf>
    <xf fontId="0" fillId="0" borderId="0" numFmtId="0" xfId="0" applyAlignment="1">
      <alignment vertical="center" wrapText="1"/>
    </xf>
    <xf fontId="0" fillId="7" borderId="0" numFmtId="0" xfId="0" applyFill="1" applyAlignment="1">
      <alignment vertical="center" wrapText="1"/>
    </xf>
    <xf fontId="0" fillId="7" borderId="0" numFmtId="164" xfId="0" applyNumberFormat="1" applyFill="1" applyAlignment="1">
      <alignment vertical="center" wrapText="1"/>
    </xf>
    <xf fontId="2" fillId="3" borderId="0" numFmtId="164" xfId="0" applyNumberFormat="1" applyFont="1" applyFill="1" applyAlignment="1">
      <alignment vertical="center" wrapText="1"/>
    </xf>
    <xf fontId="0" fillId="8" borderId="0" numFmtId="0" xfId="0" applyFill="1" applyAlignment="1">
      <alignment vertical="center" wrapText="1"/>
    </xf>
    <xf fontId="0" fillId="8" borderId="0" numFmtId="164" xfId="0" applyNumberFormat="1" applyFill="1" applyAlignment="1">
      <alignment vertical="center" wrapText="1"/>
    </xf>
    <xf fontId="5" fillId="5" borderId="0" numFmtId="0" xfId="0" applyFont="1" applyFill="1" applyAlignment="1">
      <alignment vertical="center" wrapText="1"/>
    </xf>
    <xf fontId="0" fillId="0" borderId="0" numFmtId="165" xfId="0" applyNumberFormat="1" applyAlignment="1" quotePrefix="1">
      <alignment vertical="center" wrapText="1"/>
    </xf>
    <xf fontId="6" fillId="0" borderId="0" numFmtId="0" xfId="0" applyFont="1" applyAlignment="1">
      <alignment horizontal="center" vertical="center" wrapText="1"/>
    </xf>
    <xf fontId="7" fillId="0" borderId="0" numFmtId="0" xfId="0" applyFont="1" applyAlignment="1">
      <alignment horizontal="left" vertical="center" wrapText="1"/>
    </xf>
    <xf fontId="6" fillId="0" borderId="0" numFmtId="0" xfId="0" applyFont="1" applyAlignment="1">
      <alignment horizontal="left" vertical="center" wrapText="1"/>
    </xf>
    <xf fontId="2" fillId="0" borderId="0" numFmtId="0" xfId="0" applyFont="1" applyAlignment="1">
      <alignment vertical="center" wrapText="1"/>
    </xf>
    <xf fontId="8" fillId="0" borderId="0" numFmtId="167" xfId="0" applyNumberFormat="1" applyAlignment="1" applyFont="1">
      <alignment vertical="center" wrapText="1" horizontal="right"/>
    </xf>
    <xf fontId="9" fillId="0" borderId="0" numFmtId="167" xfId="0" applyNumberFormat="1" applyAlignment="1" applyFont="1">
      <alignment vertical="center" wrapText="1" horizontal="right"/>
    </xf>
    <xf fontId="10" fillId="0" borderId="0" numFmtId="167" xfId="0" applyNumberFormat="1" applyAlignment="1" applyFont="1">
      <alignment vertical="center" wrapText="1" horizontal="right"/>
    </xf>
    <xf fontId="11" fillId="0" borderId="0" numFmtId="167" xfId="0" applyNumberFormat="1" applyAlignment="1" applyFont="1">
      <alignment vertical="center" wrapText="1" horizontal="right"/>
    </xf>
    <xf fontId="12" fillId="0" borderId="0" numFmtId="167" xfId="0" applyNumberFormat="1" applyAlignment="1" applyFont="1">
      <alignment vertical="center" wrapText="1" horizontal="right"/>
    </xf>
    <xf fontId="13" fillId="0" borderId="0" numFmtId="167" xfId="0" applyNumberFormat="1" applyAlignment="1" applyFont="1">
      <alignment vertical="center" wrapText="1" horizontal="right"/>
    </xf>
    <xf fontId="14" fillId="0" borderId="0" numFmtId="167" xfId="0" applyNumberFormat="1" applyAlignment="1" applyFont="1">
      <alignment vertical="center" wrapText="1" horizontal="right"/>
    </xf>
    <xf fontId="15" fillId="0" borderId="0" numFmtId="167" xfId="0" applyNumberFormat="1" applyAlignment="1" applyFont="1">
      <alignment vertical="center" wrapText="1" horizontal="right"/>
    </xf>
    <xf fontId="16" fillId="0" borderId="0" numFmtId="167" xfId="0" applyNumberFormat="1" applyAlignment="1" quotePrefix="1" applyFont="1">
      <alignment vertical="center" wrapText="1" horizontal="right"/>
    </xf>
    <xf fontId="17" fillId="0" borderId="0" numFmtId="167" xfId="0" applyNumberFormat="1" applyAlignment="1" applyFont="1">
      <alignment vertical="center" wrapText="1" horizontal="right"/>
    </xf>
    <xf fontId="18" fillId="0" borderId="0" numFmtId="167" xfId="0" applyNumberFormat="1" applyAlignment="1" applyFont="1">
      <alignment vertical="center" wrapText="1" horizontal="right"/>
    </xf>
    <xf fontId="19" fillId="0" borderId="0" numFmtId="167" xfId="0" applyNumberFormat="1" applyAlignment="1" applyFont="1">
      <alignment vertical="center" wrapText="1" horizontal="right"/>
    </xf>
    <xf fontId="20" fillId="0" borderId="0" numFmtId="167" xfId="0" applyNumberFormat="1" applyAlignment="1" applyFont="1">
      <alignment vertical="center" wrapText="1" horizontal="right"/>
    </xf>
    <xf fontId="21" fillId="0" borderId="0" numFmtId="167" xfId="0" applyNumberFormat="1" applyAlignment="1" applyFont="1">
      <alignment vertical="center" wrapText="1" horizontal="right"/>
    </xf>
    <xf fontId="22" fillId="6" borderId="0" numFmtId="167" xfId="0" applyNumberFormat="1" applyFont="1" applyFill="1" applyAlignment="1">
      <alignment vertical="center" wrapText="1" horizontal="right"/>
    </xf>
    <xf fontId="23" fillId="6" borderId="0" numFmtId="167" xfId="0" applyNumberFormat="1" applyFont="1" applyFill="1" applyAlignment="1">
      <alignment vertical="center" wrapText="1" horizontal="right"/>
    </xf>
    <xf fontId="24" fillId="9" borderId="0" numFmtId="0" xfId="0" applyFont="1" applyFill="1" applyAlignment="1">
      <alignment vertical="center" wrapText="1"/>
    </xf>
    <xf fontId="25" fillId="10" borderId="0" numFmtId="0" xfId="0" applyFont="1" applyFill="1" applyAlignment="1">
      <alignment vertical="center" wrapText="1"/>
    </xf>
    <xf fontId="26" fillId="11" borderId="0" numFmtId="165" xfId="0" applyNumberFormat="1" applyFont="1" applyFill="1" applyAlignment="1">
      <alignment vertical="center" wrapText="1"/>
    </xf>
    <xf fontId="27" fillId="12" borderId="0" numFmtId="167" xfId="0" applyNumberFormat="1" applyFont="1" applyFill="1" applyAlignment="1">
      <alignment vertical="center" wrapText="1" horizontal="right"/>
    </xf>
    <xf fontId="28" fillId="13" borderId="0" numFmtId="167" xfId="0" applyNumberFormat="1" applyFont="1" applyFill="1" applyAlignment="1">
      <alignment vertical="center" wrapText="1" horizontal="right"/>
    </xf>
    <xf fontId="29" fillId="14" borderId="0" numFmtId="164" xfId="0" applyNumberFormat="1" applyFont="1" applyFill="1" applyAlignment="1">
      <alignment vertical="center" wrapText="1"/>
    </xf>
    <xf fontId="30" fillId="15" borderId="0" numFmtId="164" xfId="0" applyNumberFormat="1" applyFont="1" applyFill="1" applyAlignment="1">
      <alignment vertical="center" wrapText="1"/>
    </xf>
    <xf fontId="31" fillId="16" borderId="0" numFmtId="0" xfId="0" applyFont="1" applyFill="1" applyAlignment="1">
      <alignment vertical="center" wrapText="1"/>
    </xf>
    <xf fontId="32" fillId="5" borderId="0" numFmtId="0" xfId="0" applyFont="1" applyFill="1" applyAlignment="1">
      <alignment vertical="center" wrapText="1"/>
    </xf>
    <xf fontId="33" fillId="5" borderId="0" numFmtId="0" xfId="0" applyFont="1" applyFill="1" applyAlignment="1">
      <alignment vertical="center" wrapText="1"/>
    </xf>
    <xf fontId="34" fillId="5" borderId="0" numFmtId="0" xfId="0" applyFont="1" applyFill="1" applyAlignment="1">
      <alignment vertical="center" wrapText="1"/>
    </xf>
    <xf fontId="35" fillId="5" borderId="0" numFmtId="0" xfId="0" applyFont="1" applyFill="1" applyAlignment="1">
      <alignment vertical="center" wrapText="1"/>
    </xf>
    <xf fontId="36" fillId="5" borderId="0" numFmtId="0" xfId="0" applyFont="1" applyFill="1" applyAlignment="1">
      <alignment vertical="center" wrapText="1"/>
    </xf>
    <xf fontId="37" fillId="5" borderId="0" numFmtId="0" xfId="0" applyFont="1" applyFill="1" applyAlignment="1">
      <alignment vertical="center" wrapText="1"/>
    </xf>
    <xf fontId="38" fillId="5" borderId="0" numFmtId="0" xfId="0" applyFont="1" applyFill="1" applyAlignment="1">
      <alignment vertical="center" wrapText="1"/>
    </xf>
    <xf fontId="39" fillId="5" borderId="0" numFmtId="0" xfId="0" applyFont="1" applyFill="1" applyAlignment="1">
      <alignment vertical="center" wrapText="1"/>
    </xf>
    <xf fontId="40" fillId="5" borderId="0" numFmtId="0" xfId="0" applyFont="1" applyFill="1" applyAlignment="1">
      <alignment vertical="center" wrapText="1"/>
    </xf>
    <xf fontId="41" fillId="5" borderId="0" numFmtId="0" xfId="0" applyFont="1" applyFill="1" applyAlignment="1">
      <alignment vertical="center" wrapText="1"/>
    </xf>
    <xf fontId="42" fillId="5" borderId="0" numFmtId="0" xfId="0" applyFont="1" applyFill="1" applyAlignment="1">
      <alignment vertical="center" wrapText="1"/>
    </xf>
    <xf fontId="43" fillId="5" borderId="0" numFmtId="0" xfId="0" applyFont="1" applyFill="1" applyAlignment="1">
      <alignment vertical="center" wrapText="1"/>
    </xf>
    <xf fontId="44" fillId="5" borderId="0" numFmtId="0" xfId="0" applyFont="1" applyFill="1" applyAlignment="1">
      <alignment vertical="center" wrapText="1"/>
    </xf>
    <xf fontId="45" fillId="5" borderId="0" numFmtId="0" xfId="0" applyFont="1" applyFill="1" applyAlignment="1">
      <alignment vertical="center" wrapText="1"/>
    </xf>
    <xf fontId="46" fillId="5" borderId="0" numFmtId="0" xfId="0" applyFont="1" applyFill="1" applyAlignment="1">
      <alignment vertical="center" wrapText="1"/>
    </xf>
    <xf fontId="47" fillId="5" borderId="0" numFmtId="0" xfId="0" applyFont="1" applyFill="1" applyAlignment="1">
      <alignment vertical="center" wrapText="1"/>
    </xf>
    <xf fontId="48" fillId="17" borderId="0" numFmtId="0" xfId="0" applyFont="1" applyFill="1" applyAlignment="1">
      <alignment vertical="center" wrapText="1"/>
    </xf>
    <xf fontId="49" fillId="18" borderId="0" numFmtId="0" xfId="0" applyFont="1" applyFill="1" applyAlignment="1">
      <alignment vertical="center" wrapText="1"/>
    </xf>
    <xf fontId="50" fillId="19" borderId="0" numFmtId="0" xfId="0" applyFont="1" applyFill="1" applyAlignment="1">
      <alignment vertical="center" wrapText="1"/>
    </xf>
    <xf fontId="51" fillId="20" borderId="0" numFmtId="0" xfId="0" applyFont="1" applyFill="1" applyAlignment="1">
      <alignment vertical="center" wrapText="1"/>
    </xf>
    <xf fontId="52" fillId="21" borderId="0" numFmtId="0" xfId="0" applyFont="1" applyFill="1" applyAlignment="1">
      <alignment vertical="center" wrapText="1"/>
    </xf>
    <xf fontId="53" fillId="22" borderId="0" numFmtId="0" xfId="0" applyFont="1" applyFill="1" applyAlignment="1">
      <alignment vertical="center" wrapText="1"/>
    </xf>
    <xf fontId="54" fillId="3" borderId="0" numFmtId="0" xfId="0" applyFont="1" applyFill="1" applyAlignment="1">
      <alignment vertical="center" wrapText="1"/>
    </xf>
    <xf fontId="55" fillId="0" borderId="0" numFmtId="165" xfId="0" applyNumberFormat="1" applyAlignment="1" applyFont="1">
      <alignment vertical="center" wrapText="1"/>
    </xf>
    <xf fontId="56" fillId="0" borderId="0" numFmtId="0" xfId="0" applyAlignment="1" applyFont="1">
      <alignment vertical="center" wrapText="1"/>
    </xf>
    <xf fontId="57" fillId="3" borderId="0" numFmtId="0" xfId="0" applyFont="1" applyFill="1" applyAlignment="1">
      <alignment vertical="center" wrapText="1"/>
    </xf>
    <xf fontId="58" fillId="0" borderId="0" numFmtId="164" xfId="0" applyNumberFormat="1" applyAlignment="1" applyFont="1">
      <alignment vertical="center" wrapText="1"/>
    </xf>
    <xf fontId="59" fillId="0" borderId="0" numFmtId="0" xfId="0" applyAlignment="1" applyFont="1">
      <alignment vertical="center" wrapText="1"/>
    </xf>
    <xf fontId="60" fillId="3" borderId="0" numFmtId="0" xfId="0" applyFont="1" applyFill="1" applyAlignment="1">
      <alignment vertical="center" wrapText="1"/>
    </xf>
    <xf fontId="61" fillId="0" borderId="0" numFmtId="165" xfId="0" applyNumberFormat="1" applyAlignment="1" applyFont="1">
      <alignment vertical="center" wrapText="1"/>
    </xf>
    <xf fontId="62" fillId="0" borderId="0" numFmtId="0" xfId="0" applyAlignment="1" applyFont="1">
      <alignment vertical="center" wrapText="1"/>
    </xf>
    <xf fontId="63" fillId="3" borderId="0" numFmtId="0" xfId="0" applyFont="1" applyFill="1" applyAlignment="1">
      <alignment vertical="center" wrapText="1"/>
    </xf>
    <xf fontId="64" fillId="0" borderId="0" numFmtId="164" xfId="0" applyNumberFormat="1" applyAlignment="1" applyFont="1">
      <alignment vertical="center" wrapText="1"/>
    </xf>
    <xf fontId="65" fillId="0" borderId="0" numFmtId="0" xfId="0" applyAlignment="1" applyFont="1">
      <alignment vertical="center" wrapText="1"/>
    </xf>
    <xf fontId="66" fillId="3" borderId="0" numFmtId="0" xfId="0" applyFont="1" applyFill="1" applyAlignment="1">
      <alignment vertical="center" wrapText="1"/>
    </xf>
    <xf fontId="67" fillId="0" borderId="0" numFmtId="0" xfId="0" applyAlignment="1" applyFont="1">
      <alignment vertical="center" wrapText="1"/>
    </xf>
    <xf fontId="68" fillId="0" borderId="0" numFmtId="0" xfId="0" applyAlignment="1" applyFont="1">
      <alignment vertical="center" wrapText="1"/>
    </xf>
    <xf fontId="69" fillId="3" borderId="0" numFmtId="0" xfId="0" applyFont="1" applyFill="1" applyAlignment="1">
      <alignment vertical="center" wrapText="1"/>
    </xf>
    <xf fontId="70" fillId="0" borderId="0" numFmtId="164" xfId="0" applyNumberFormat="1" applyAlignment="1" applyFont="1">
      <alignment vertical="center" wrapText="1"/>
    </xf>
    <xf fontId="71" fillId="0" borderId="0" numFmtId="0" xfId="0" applyAlignment="1" applyFont="1">
      <alignment vertical="center" wrapText="1"/>
    </xf>
    <xf fontId="72" fillId="0" borderId="0" numFmtId="0" xfId="0" applyAlignment="1" applyFont="1">
      <alignment vertical="center" wrapText="1"/>
    </xf>
    <xf fontId="73" fillId="0" borderId="0" numFmtId="0" xfId="0" applyAlignment="1" applyFont="1">
      <alignment vertical="center" wrapText="1"/>
    </xf>
    <xf fontId="74" fillId="0" borderId="0" numFmtId="0" xfId="0" applyAlignment="1" applyFont="1">
      <alignment vertical="center" wrapText="1"/>
    </xf>
    <xf fontId="75" fillId="6" borderId="0" numFmtId="0" xfId="0" applyFont="1" applyFill="1" applyAlignment="1">
      <alignment vertical="center" wrapText="1"/>
    </xf>
    <xf fontId="76" fillId="6" borderId="0" numFmtId="164" xfId="0" applyNumberFormat="1" applyFont="1" applyFill="1" applyAlignment="1">
      <alignment vertical="center" wrapText="1"/>
    </xf>
    <xf fontId="77" fillId="0" borderId="0" numFmtId="0" xfId="0" applyAlignment="1" applyFont="1">
      <alignment vertical="center" wrapText="1"/>
    </xf>
    <xf fontId="78" fillId="0" borderId="0" numFmtId="0" xfId="0" applyAlignment="1" applyFont="1">
      <alignment vertical="center" wrapText="1"/>
    </xf>
    <xf fontId="79" fillId="0" borderId="0" numFmtId="0" xfId="0" applyAlignment="1" applyFont="1">
      <alignment vertical="center" wrapText="1"/>
    </xf>
    <xf fontId="80" fillId="0" borderId="0" numFmtId="0" xfId="0" applyAlignment="1" applyFont="1">
      <alignment vertical="center" wrapText="1"/>
    </xf>
    <xf fontId="81" fillId="3" borderId="0" numFmtId="0" xfId="0" applyFont="1" applyFill="1" applyAlignment="1">
      <alignment vertical="center" wrapText="1"/>
    </xf>
    <xf fontId="82" fillId="0" borderId="0" numFmtId="164" xfId="0" applyNumberFormat="1" applyAlignment="1" applyFont="1">
      <alignment vertical="center" wrapText="1"/>
    </xf>
    <xf fontId="83" fillId="0" borderId="0" numFmtId="0" xfId="0" applyAlignment="1" applyFont="1">
      <alignment vertical="center" wrapText="1"/>
    </xf>
    <xf fontId="84" fillId="23" borderId="0" numFmtId="0" xfId="0" applyFont="1" applyFill="1" applyAlignment="1">
      <alignment vertical="center" wrapText="1"/>
    </xf>
    <xf fontId="85" fillId="24" borderId="0" numFmtId="0" xfId="0" applyFont="1" applyFill="1" applyAlignment="1">
      <alignment vertical="center" wrapText="1"/>
    </xf>
    <xf fontId="86" fillId="25" borderId="0" numFmtId="0" xfId="0" applyFont="1" applyFill="1" applyAlignment="1">
      <alignment vertical="center" wrapText="1"/>
    </xf>
    <xf fontId="87" fillId="26" borderId="0" numFmtId="0" xfId="0" applyFont="1" applyFill="1" applyAlignment="1">
      <alignment vertical="center" wrapText="1"/>
    </xf>
    <xf fontId="88" fillId="27" borderId="0" numFmtId="0" xfId="0" applyFont="1" applyFill="1" applyAlignment="1">
      <alignment vertical="center" wrapText="1"/>
    </xf>
    <xf fontId="89" fillId="28" borderId="0" numFmtId="0" xfId="0" applyFont="1" applyFill="1" applyAlignment="1">
      <alignment vertical="center" wrapText="1"/>
    </xf>
    <xf fontId="90" fillId="29" borderId="0" numFmtId="0" xfId="0" applyFont="1" applyFill="1" applyAlignment="1">
      <alignment vertical="center" wrapText="1"/>
    </xf>
    <xf fontId="91" fillId="30" borderId="0" numFmtId="0" xfId="0" applyFont="1" applyFill="1" applyAlignment="1">
      <alignment vertical="center" wrapText="1"/>
    </xf>
    <xf fontId="92" fillId="0" borderId="0" numFmtId="167" xfId="0" applyNumberFormat="1" applyAlignment="1" applyFont="1">
      <alignment vertical="center" wrapText="1" horizontal="right"/>
    </xf>
    <xf fontId="93" fillId="0" borderId="0" numFmtId="167" xfId="0" applyNumberFormat="1" applyAlignment="1" applyFont="1">
      <alignment vertical="center" wrapText="1" horizontal="right"/>
    </xf>
    <xf fontId="67" fillId="0" borderId="0" numFmtId="168" xfId="0" applyAlignment="1" applyFont="1" applyNumberFormat="1">
      <alignment vertical="center" wrapText="1"/>
    </xf>
    <xf fontId="94" fillId="0" borderId="0" numFmtId="164" xfId="0" applyNumberFormat="1" applyAlignment="1" applyFont="1">
      <alignment vertical="center" wrapText="1" horizontal="right"/>
    </xf>
    <xf fontId="95" fillId="0" borderId="0" numFmtId="164" xfId="0" applyNumberFormat="1" applyAlignment="1" applyFont="1">
      <alignment vertical="center" wrapText="1" horizontal="right"/>
    </xf>
    <xf fontId="96" fillId="0" borderId="0" numFmtId="164" xfId="0" applyNumberFormat="1" applyAlignment="1" applyFont="1">
      <alignment vertical="center" wrapText="1" horizontal="right"/>
    </xf>
    <xf fontId="97" fillId="6" borderId="0" numFmtId="164" xfId="0" applyNumberFormat="1" applyFont="1" applyFill="1" applyAlignment="1">
      <alignment vertical="center" wrapText="1" horizontal="right"/>
    </xf>
    <xf fontId="98" fillId="0" borderId="0" numFmtId="164" xfId="0" applyNumberFormat="1" applyAlignment="1" applyFont="1">
      <alignment vertical="center" wrapText="1" horizontal="right"/>
    </xf>
    <xf fontId="99" fillId="31" borderId="0" numFmtId="0" xfId="0" applyFont="1" applyFill="1" applyAlignment="1">
      <alignment vertical="center" wrapText="1"/>
    </xf>
    <xf fontId="100" fillId="32" borderId="0" numFmtId="164" xfId="0" applyNumberFormat="1" applyFont="1" applyFill="1" applyAlignment="1">
      <alignment vertical="center" wrapText="1" horizontal="right"/>
    </xf>
    <xf fontId="101" fillId="5" borderId="0" numFmtId="0" xfId="0" applyFont="1" applyFill="1" applyAlignment="1">
      <alignment vertical="center" wrapText="1"/>
    </xf>
    <xf fontId="102" fillId="5" borderId="0" numFmtId="0" xfId="0" applyFont="1" applyFill="1" applyAlignment="1">
      <alignment vertical="center" wrapText="1"/>
    </xf>
    <xf fontId="103" fillId="5" borderId="0" numFmtId="0" xfId="0" applyFont="1" applyFill="1" applyAlignment="1">
      <alignment vertical="center" wrapText="1"/>
    </xf>
    <xf fontId="104" fillId="5" borderId="0" numFmtId="0" xfId="0" applyFont="1" applyFill="1" applyAlignment="1">
      <alignment vertical="center" wrapText="1"/>
    </xf>
    <xf fontId="105" fillId="5" borderId="0" numFmtId="0" xfId="0" applyFont="1" applyFill="1" applyAlignment="1">
      <alignment vertical="center" wrapText="1"/>
    </xf>
    <xf fontId="106" fillId="5" borderId="0" numFmtId="0" xfId="0" applyFont="1" applyFill="1" applyAlignment="1">
      <alignment vertical="center" wrapText="1"/>
    </xf>
    <xf fontId="107" fillId="5" borderId="0" numFmtId="0" xfId="0" applyFont="1" applyFill="1" applyAlignment="1">
      <alignment vertical="center" wrapText="1"/>
    </xf>
    <xf fontId="108" fillId="5" borderId="0" numFmtId="0" xfId="0" applyFont="1" applyFill="1" applyAlignment="1">
      <alignment vertical="center" wrapText="1"/>
    </xf>
    <xf fontId="109" fillId="5" borderId="0" numFmtId="0" xfId="0" applyFont="1" applyFill="1" applyAlignment="1">
      <alignment vertical="center" wrapText="1"/>
    </xf>
    <xf fontId="110" fillId="5" borderId="0" numFmtId="0" xfId="0" applyFont="1" applyFill="1" applyAlignment="1">
      <alignment vertical="center" wrapText="1"/>
    </xf>
    <xf fontId="111" fillId="5" borderId="0" numFmtId="0" xfId="0" applyFont="1" applyFill="1" applyAlignment="1">
      <alignment vertical="center" wrapText="1"/>
    </xf>
    <xf fontId="112" fillId="5" borderId="0" numFmtId="0" xfId="0" applyFont="1" applyFill="1" applyAlignment="1">
      <alignment vertical="center" wrapText="1"/>
    </xf>
    <xf fontId="113" fillId="33" borderId="0" numFmtId="0" xfId="0" applyFont="1" applyFill="1" applyAlignment="1">
      <alignment vertical="center" wrapText="1"/>
    </xf>
    <xf fontId="114" fillId="34" borderId="0" numFmtId="0" xfId="0" applyFont="1" applyFill="1" applyAlignment="1">
      <alignment vertical="center" wrapText="1"/>
    </xf>
    <xf fontId="115" fillId="35" borderId="0" numFmtId="0" xfId="0" applyFont="1" applyFill="1" applyAlignment="1">
      <alignment vertical="center" wrapText="1"/>
    </xf>
    <xf fontId="116" fillId="36" borderId="0" numFmtId="0" xfId="0" applyFont="1" applyFill="1" applyAlignment="1">
      <alignment vertical="center" wrapText="1"/>
    </xf>
    <xf fontId="117" fillId="0" borderId="0" numFmtId="0" xfId="0" applyAlignment="1" applyFont="1">
      <alignment vertical="center" wrapText="1"/>
    </xf>
    <xf fontId="118" fillId="0" borderId="0" numFmtId="0" xfId="0" applyAlignment="1" applyFont="1">
      <alignment vertical="center" wrapText="1"/>
    </xf>
    <xf fontId="119" fillId="0" borderId="0" numFmtId="164" xfId="0" applyNumberFormat="1" applyAlignment="1" applyFont="1">
      <alignment vertical="center" wrapText="1"/>
    </xf>
    <xf fontId="120" fillId="0" borderId="0" numFmtId="0" xfId="0" applyAlignment="1" applyFont="1">
      <alignment vertical="center" wrapText="1"/>
    </xf>
    <xf fontId="121" fillId="0" borderId="0" numFmtId="0" xfId="0" applyAlignment="1" applyFont="1">
      <alignment vertical="center" wrapText="1"/>
    </xf>
    <xf fontId="122" fillId="0" borderId="0" numFmtId="0" xfId="0" applyAlignment="1" applyFont="1">
      <alignment vertical="center" wrapText="1"/>
    </xf>
    <xf fontId="123" fillId="0" borderId="0" numFmtId="164" xfId="0" applyNumberFormat="1" applyAlignment="1" applyFont="1">
      <alignment vertical="center" wrapText="1"/>
    </xf>
    <xf fontId="124" fillId="0" borderId="0" numFmtId="0" xfId="0" applyAlignment="1" applyFont="1">
      <alignment vertical="center" wrapText="1"/>
    </xf>
    <xf fontId="125" fillId="0" borderId="0" numFmtId="0" xfId="0" applyAlignment="1" applyFont="1">
      <alignment vertical="center" wrapText="1"/>
    </xf>
    <xf fontId="126" fillId="0" borderId="0" numFmtId="0" xfId="0" applyAlignment="1" applyFont="1">
      <alignment vertical="center" wrapText="1"/>
    </xf>
    <xf fontId="127" fillId="0" borderId="0" numFmtId="164" xfId="0" applyNumberFormat="1" applyAlignment="1" applyFont="1">
      <alignment vertical="center" wrapText="1"/>
    </xf>
    <xf fontId="128" fillId="0" borderId="0" numFmtId="0" xfId="0" applyAlignment="1" applyFont="1">
      <alignment vertical="center" wrapText="1"/>
    </xf>
    <xf fontId="129" fillId="6" borderId="0" numFmtId="0" xfId="0" applyFont="1" applyFill="1" applyAlignment="1">
      <alignment vertical="center" wrapText="1"/>
    </xf>
    <xf fontId="130" fillId="6" borderId="0" numFmtId="0" xfId="0" applyFont="1" applyFill="1" applyAlignment="1">
      <alignment vertical="center" wrapText="1"/>
    </xf>
    <xf fontId="131" fillId="6" borderId="0" numFmtId="164" xfId="0" applyNumberFormat="1" applyFont="1" applyFill="1" applyAlignment="1">
      <alignment vertical="center" wrapText="1"/>
    </xf>
    <xf fontId="132" fillId="6" borderId="0" numFmtId="0" xfId="0" applyFont="1" applyFill="1" applyAlignment="1">
      <alignment vertical="center" wrapText="1"/>
    </xf>
    <xf fontId="133" fillId="0" borderId="0" numFmtId="0" xfId="0" applyAlignment="1" applyFont="1">
      <alignment vertical="center" wrapText="1"/>
    </xf>
    <xf fontId="134" fillId="0" borderId="0" numFmtId="0" xfId="0" applyAlignment="1" applyFont="1">
      <alignment vertical="center" wrapText="1"/>
    </xf>
    <xf fontId="135" fillId="0" borderId="0" numFmtId="164" xfId="0" applyNumberFormat="1" applyAlignment="1" applyFont="1">
      <alignment vertical="center" wrapText="1"/>
    </xf>
    <xf fontId="136" fillId="0" borderId="0" numFmtId="0" xfId="0" applyAlignment="1" applyFont="1">
      <alignment vertical="center" wrapText="1"/>
    </xf>
    <xf fontId="137" fillId="0" borderId="0" numFmtId="164" xfId="0" applyNumberFormat="1" applyAlignment="1" applyFont="1">
      <alignment vertical="center" wrapText="1" horizontal="right"/>
    </xf>
    <xf fontId="138" fillId="0" borderId="0" numFmtId="164" xfId="0" applyNumberFormat="1" applyAlignment="1" applyFont="1">
      <alignment vertical="center" wrapText="1" horizontal="right"/>
    </xf>
    <xf fontId="139" fillId="0" borderId="0" numFmtId="164" xfId="0" applyNumberFormat="1" applyAlignment="1" applyFont="1">
      <alignment vertical="center" wrapText="1" horizontal="right"/>
    </xf>
    <xf fontId="140" fillId="6" borderId="0" numFmtId="164" xfId="0" applyNumberFormat="1" applyFont="1" applyFill="1" applyAlignment="1">
      <alignment vertical="center" wrapText="1" horizontal="right"/>
    </xf>
    <xf fontId="141" fillId="0" borderId="0" numFmtId="164" xfId="0" applyNumberFormat="1" applyAlignment="1" applyFont="1">
      <alignment vertical="center" wrapText="1" horizontal="right"/>
    </xf>
    <xf fontId="142" fillId="37" borderId="0" numFmtId="0" xfId="0" applyFont="1" applyFill="1" applyAlignment="1">
      <alignment vertical="center" wrapText="1"/>
    </xf>
    <xf fontId="143" fillId="38" borderId="0" numFmtId="0" xfId="0" applyFont="1" applyFill="1" applyAlignment="1">
      <alignment vertical="center" wrapText="1"/>
    </xf>
    <xf fontId="144" fillId="39" borderId="0" numFmtId="164" xfId="0" applyNumberFormat="1" applyFont="1" applyFill="1" applyAlignment="1">
      <alignment vertical="center" wrapText="1" horizontal="right"/>
    </xf>
    <xf fontId="145" fillId="40" borderId="0" numFmtId="0" xfId="0" applyFont="1" applyFill="1" applyAlignment="1">
      <alignment vertical="center" wrapText="1"/>
    </xf>
    <xf fontId="0" fillId="0" borderId="0" numFmtId="169" xfId="0" applyAlignment="1" applyNumberFormat="1">
      <alignment vertical="center" wrapText="1"/>
    </xf>
    <xf fontId="146" fillId="0" borderId="0" numFmtId="0" xfId="0" applyFont="1" applyAlignment="1">
      <alignment vertical="center" wrapText="1"/>
    </xf>
    <xf fontId="147" fillId="0" borderId="0" numFmtId="0" xfId="0" applyFont="1" applyAlignment="1">
      <alignment vertical="center" wrapText="1"/>
    </xf>
    <xf fontId="148" fillId="0" borderId="0" numFmtId="0" xfId="0" applyFont="1" applyAlignment="1">
      <alignment vertical="center" wrapText="1"/>
    </xf>
    <xf fontId="149" fillId="0" borderId="0" numFmtId="0" xfId="0" applyFont="1" applyAlignment="1">
      <alignment vertical="center" wrapText="1"/>
    </xf>
    <xf fontId="150" fillId="0" borderId="0" numFmtId="0" xfId="0" applyFont="1" applyAlignment="1">
      <alignment vertical="center" wrapText="1"/>
    </xf>
    <xf fontId="151" fillId="0" borderId="0" numFmtId="0" xfId="0" applyFont="1" applyAlignment="1">
      <alignment vertical="center" wrapText="1"/>
    </xf>
    <xf fontId="152" fillId="0" borderId="0" numFmtId="0" xfId="0" applyFont="1" applyAlignment="1">
      <alignment vertical="center" wrapText="1"/>
    </xf>
    <xf fontId="153" fillId="0" borderId="0" numFmtId="0" xfId="0" applyFont="1" applyAlignment="1">
      <alignment vertical="center" wrapText="1"/>
    </xf>
    <xf fontId="154" fillId="0" borderId="0" numFmtId="0" xfId="0" applyFont="1" applyAlignment="1">
      <alignment vertical="center" wrapText="1"/>
    </xf>
    <xf fontId="155" fillId="0" borderId="0" numFmtId="0" xfId="0" applyFont="1" applyAlignment="1">
      <alignment vertical="center" wrapText="1"/>
    </xf>
    <xf fontId="156" fillId="0" borderId="0" numFmtId="0" xfId="0" applyFont="1" applyAlignment="1">
      <alignment vertical="center" wrapText="1"/>
    </xf>
    <xf fontId="157" fillId="0" borderId="0" numFmtId="0" xfId="0" applyFont="1" applyAlignment="1">
      <alignment vertical="center" wrapText="1"/>
    </xf>
    <xf fontId="158" fillId="0" borderId="0" numFmtId="0" xfId="0" applyFont="1" applyAlignment="1">
      <alignment vertical="center" wrapText="1"/>
    </xf>
    <xf fontId="159" fillId="0" borderId="0" numFmtId="0" xfId="0" applyFont="1" applyAlignment="1">
      <alignment vertical="center" wrapText="1"/>
    </xf>
    <xf fontId="160" fillId="0" borderId="0" numFmtId="0" xfId="0" applyFont="1" applyAlignment="1">
      <alignment vertical="center" wrapText="1"/>
    </xf>
    <xf fontId="161" fillId="0" borderId="0" numFmtId="0" xfId="0" applyFont="1" applyAlignment="1">
      <alignment vertical="center" wrapText="1"/>
    </xf>
    <xf fontId="162" fillId="0" borderId="0" numFmtId="0" xfId="0" applyFont="1" applyAlignment="1">
      <alignment vertical="center" wrapText="1"/>
    </xf>
    <xf fontId="163" fillId="0" borderId="0" numFmtId="0" xfId="0" applyFont="1" applyAlignment="1">
      <alignment vertical="center" wrapText="1"/>
    </xf>
    <xf fontId="164" fillId="0" borderId="0" numFmtId="0" xfId="0" applyFont="1" applyAlignment="1">
      <alignment vertical="center" wrapText="1"/>
    </xf>
    <xf fontId="165" fillId="0" borderId="0" numFmtId="0" xfId="0" applyFont="1" applyAlignment="1">
      <alignment vertical="center" wrapText="1"/>
    </xf>
    <xf fontId="166" fillId="0" borderId="0" numFmtId="0" xfId="0" applyFont="1" applyAlignment="1">
      <alignment vertical="center" wrapText="1"/>
    </xf>
    <xf fontId="167" fillId="0" borderId="0" numFmtId="0" xfId="0" applyFont="1" applyAlignment="1">
      <alignment vertical="center" wrapText="1"/>
    </xf>
    <xf fontId="168" fillId="0" borderId="0" numFmtId="0" xfId="0" applyFont="1" applyAlignment="1">
      <alignment vertical="center" wrapText="1"/>
    </xf>
    <xf fontId="169" fillId="0" borderId="0" numFmtId="0" xfId="0" applyFont="1" applyAlignment="1">
      <alignment vertical="center" wrapText="1"/>
    </xf>
    <xf fontId="147" fillId="0" borderId="0" numFmtId="170" xfId="0" applyFont="1" applyAlignment="1" applyNumberFormat="1">
      <alignment vertical="center" wrapText="1"/>
    </xf>
    <xf fontId="151" fillId="0" borderId="0" numFmtId="170" xfId="0" applyFont="1" applyAlignment="1" applyNumberFormat="1">
      <alignment vertical="center" wrapText="1"/>
    </xf>
    <xf fontId="155" fillId="0" borderId="0" numFmtId="168" xfId="0" applyFont="1" applyAlignment="1" applyNumberFormat="1">
      <alignment vertical="center" wrapText="1"/>
    </xf>
    <xf fontId="159" fillId="0" borderId="0" numFmtId="168" xfId="0" applyFont="1" applyAlignment="1" applyNumberFormat="1">
      <alignment vertical="center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0"/>
    <col customWidth="1" min="2" max="2" width="42"/>
    <col customWidth="1" min="3" max="3" width="18"/>
    <col customWidth="1" min="4" max="4" width="24"/>
    <col customWidth="1" min="5" max="5" width="20"/>
    <col customWidth="1" min="6" max="6" width="16"/>
  </cols>
  <sheetData>
    <row r="1" ht="30" customHeight="1">
      <c r="A1" s="1" t="s">
        <v>0</v>
      </c>
      <c r="B1" s="1"/>
      <c r="C1" s="1"/>
      <c r="D1" s="1"/>
      <c r="E1" s="1"/>
      <c r="F1" s="1"/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 ht="28.5">
      <c r="A3" s="3" t="s">
        <v>1</v>
      </c>
      <c r="B3" s="2" t="s">
        <v>2</v>
      </c>
      <c r="C3" s="2"/>
      <c r="D3" s="4" t="s">
        <v>3</v>
      </c>
      <c r="E3" s="4" t="s">
        <v>4</v>
      </c>
      <c r="F3" s="2"/>
      <c r="G3" s="2"/>
      <c r="H3" s="2"/>
    </row>
    <row r="4" ht="42" customHeight="1">
      <c r="A4" s="3" t="s">
        <v>5</v>
      </c>
      <c r="B4" s="2" t="str">
        <f>'Supuestos'!B4</f>
        <v>7 sprints / 13/08/2026 al 05/11/2026</v>
      </c>
      <c r="C4" s="2"/>
      <c r="D4" s="5" t="s">
        <v>7</v>
      </c>
      <c r="E4" s="6">
        <f>'Costos y Presupuesto'!C9</f>
        <v>14700000</v>
      </c>
      <c r="F4" s="2"/>
      <c r="G4" s="2"/>
      <c r="H4" s="2"/>
    </row>
    <row r="5" ht="28.5">
      <c r="A5" s="3" t="s">
        <v>8</v>
      </c>
      <c r="B5" s="2" t="s">
        <v>9</v>
      </c>
      <c r="C5" s="2"/>
      <c r="D5" s="5" t="s">
        <v>10</v>
      </c>
      <c r="E5" s="6">
        <f>E6-E4</f>
        <v>1300000</v>
      </c>
      <c r="F5" s="2"/>
      <c r="G5" s="2"/>
      <c r="H5" s="2"/>
    </row>
    <row r="6">
      <c r="A6" s="3" t="s">
        <v>11</v>
      </c>
      <c r="B6" s="7">
        <f>'HH por Integrante'!C7</f>
        <v>900</v>
      </c>
      <c r="C6" s="2"/>
      <c r="D6" s="5" t="s">
        <v>12</v>
      </c>
      <c r="E6" s="6">
        <v>16000000</v>
      </c>
      <c r="F6" s="2"/>
      <c r="G6" s="2"/>
      <c r="H6" s="2"/>
    </row>
    <row r="7">
      <c r="A7" s="3" t="s">
        <v>13</v>
      </c>
      <c r="B7" s="6">
        <v>15000</v>
      </c>
      <c r="C7" s="2"/>
      <c r="D7" s="5" t="s">
        <v>14</v>
      </c>
      <c r="E7" s="8">
        <v>0.10000000000000001</v>
      </c>
      <c r="F7" s="2"/>
      <c r="G7" s="2"/>
      <c r="H7" s="2"/>
    </row>
    <row r="8">
      <c r="A8" s="3" t="s">
        <v>15</v>
      </c>
      <c r="B8" s="6">
        <f>B6*B7</f>
        <v>13500000</v>
      </c>
      <c r="C8" s="2"/>
      <c r="D8" s="5" t="s">
        <v>16</v>
      </c>
      <c r="E8" s="6">
        <f>E6*E7</f>
        <v>1600000</v>
      </c>
      <c r="F8" s="2"/>
      <c r="G8" s="2"/>
      <c r="H8" s="2"/>
    </row>
    <row r="9">
      <c r="A9" s="2"/>
      <c r="B9" s="2"/>
      <c r="C9" s="2"/>
      <c r="D9" s="9" t="s">
        <v>17</v>
      </c>
      <c r="E9" s="10">
        <f>E6+E8</f>
        <v>17600000</v>
      </c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4" t="s">
        <v>18</v>
      </c>
      <c r="B11" s="4"/>
      <c r="C11" s="4"/>
      <c r="D11" s="4"/>
      <c r="E11" s="4"/>
      <c r="F11" s="4"/>
      <c r="G11" s="2"/>
      <c r="H11" s="2"/>
    </row>
    <row r="12">
      <c r="A12" s="2" t="inlineStr">
        <is>
          <t>La estimación de referencia es de 900 HH, distribuidas entre tres integrantes y siete sprints. El costo del trabajo se valoriza con una tarifa referencial. El seguimiento acumula las horas registradas y proyecta el costo pendiente. El presupuesto base y la reserva de contingencia se mantienen separados.</t>
        </is>
      </c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68" t="inlineStr">
        <is>
          <t>Seguimiento de ejecución</t>
        </is>
      </c>
      <c r="B16" s="69"/>
      <c r="C16" s="70"/>
      <c r="D16" s="71"/>
      <c r="E16" s="72"/>
      <c r="F16" s="73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 ht="34" customHeight="1">
      <c r="A18" s="104" t="inlineStr">
        <is>
          <t>HH registradas</t>
        </is>
      </c>
      <c r="B18" s="112">
        <f>'Seguimiento por Sprint'!D11</f>
        <v>534.5</v>
      </c>
      <c r="C18" s="76"/>
      <c r="D18" s="107" t="inlineStr">
        <is>
          <t>Costo HH registrado</t>
        </is>
      </c>
      <c r="E18" s="115">
        <f>'Costos y Presupuesto'!C19</f>
        <v>8017500</v>
      </c>
      <c r="F18" s="79"/>
      <c r="G18" s="2"/>
      <c r="H18" s="2"/>
    </row>
    <row r="19" ht="34" customHeight="1">
      <c r="A19" s="105" t="inlineStr">
        <is>
          <t>HH pendientes (plan)</t>
        </is>
      </c>
      <c r="B19" s="113">
        <f>SUMIF('Seguimiento por Sprint'!D4:D10,"",'Seguimiento por Sprint'!C4:C10)</f>
        <v>300</v>
      </c>
      <c r="C19" s="82"/>
      <c r="D19" s="108" t="inlineStr">
        <is>
          <t>Desarrollo pendiente (plan)</t>
        </is>
      </c>
      <c r="E19" s="116">
        <f>'Costos y Presupuesto'!C20</f>
        <v>4500000</v>
      </c>
      <c r="F19" s="85"/>
      <c r="G19" s="2"/>
      <c r="H19" s="2"/>
    </row>
    <row r="20" ht="34" customHeight="1">
      <c r="A20" s="106" t="inlineStr">
        <is>
          <t>Sprints con horas registradas</t>
        </is>
      </c>
      <c r="B20" s="114">
        <f>COUNT('Seguimiento por Sprint'!D4:D10)</f>
        <v>6</v>
      </c>
      <c r="C20" s="88"/>
      <c r="D20" s="109" t="inlineStr">
        <is>
          <t>Otros costos estimados</t>
        </is>
      </c>
      <c r="E20" s="117">
        <f>'Costos y Presupuesto'!C21</f>
        <v>1200000</v>
      </c>
      <c r="F20" s="91"/>
      <c r="G20" s="2"/>
      <c r="H20" s="2"/>
    </row>
    <row r="21" ht="34" customHeight="1">
      <c r="A21" s="92"/>
      <c r="B21" s="93"/>
      <c r="C21" s="94"/>
      <c r="D21" s="120" t="inlineStr">
        <is>
          <t>Costo total proyectado</t>
        </is>
      </c>
      <c r="E21" s="121">
        <f>'Costos y Presupuesto'!C22</f>
        <v>13717500</v>
      </c>
      <c r="F21" s="97"/>
      <c r="G21" s="2"/>
      <c r="H21" s="2"/>
    </row>
    <row r="22" ht="34" customHeight="1">
      <c r="A22" s="98"/>
      <c r="B22" s="99"/>
      <c r="C22" s="100"/>
      <c r="D22" s="111" t="inlineStr">
        <is>
          <t>Holgura del presupuesto</t>
        </is>
      </c>
      <c r="E22" s="119">
        <f>'Costos y Presupuesto'!C23</f>
        <v>2282500</v>
      </c>
      <c r="F22" s="103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122" t="inlineStr">
        <is>
          <t>El costo registrado valoriza el esfuerzo. La proyección incorpora el trabajo pendiente y los costos no laborales estimados.</t>
        </is>
      </c>
      <c r="B24" s="123"/>
      <c r="C24" s="124"/>
      <c r="D24" s="125"/>
      <c r="E24" s="126"/>
      <c r="F24" s="127"/>
      <c r="G24" s="2"/>
      <c r="H24" s="2"/>
    </row>
    <row r="25">
      <c r="A25" s="128"/>
      <c r="B25" s="129"/>
      <c r="C25" s="130"/>
      <c r="D25" s="131"/>
      <c r="E25" s="132"/>
      <c r="F25" s="133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</sheetData>
  <mergeCells count="5">
    <mergeCell ref="A1:F1"/>
    <mergeCell ref="A11:F11"/>
    <mergeCell ref="A12:F14"/>
    <mergeCell ref="A16:F16"/>
    <mergeCell ref="A24:F2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4"/>
    <col customWidth="1" min="2" max="2" width="46"/>
    <col customWidth="1" min="3" max="3" width="16"/>
    <col customWidth="1" min="4" max="5" width="18"/>
  </cols>
  <sheetData>
    <row r="1">
      <c r="A1" s="11" t="s">
        <v>20</v>
      </c>
      <c r="B1" s="11"/>
      <c r="C1" s="11"/>
      <c r="D1" s="11"/>
      <c r="E1" s="11"/>
      <c r="F1" s="2"/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12" t="s">
        <v>21</v>
      </c>
      <c r="B3" s="12" t="s">
        <v>22</v>
      </c>
      <c r="C3" s="12" t="s">
        <v>23</v>
      </c>
      <c r="D3" s="12" t="s">
        <v>24</v>
      </c>
      <c r="E3" s="12" t="s">
        <v>25</v>
      </c>
      <c r="F3" s="2"/>
      <c r="G3" s="2"/>
      <c r="H3" s="2"/>
    </row>
    <row r="4">
      <c r="A4" s="2" t="s">
        <v>26</v>
      </c>
      <c r="B4" s="2" t="s">
        <v>27</v>
      </c>
      <c r="C4" s="7">
        <v>300</v>
      </c>
      <c r="D4" s="6">
        <f>'Resumen TEC'!$B$7</f>
        <v>15000</v>
      </c>
      <c r="E4" s="6">
        <f t="shared" ref="E4:E6" si="0">C4*D4</f>
        <v>4500000</v>
      </c>
      <c r="F4" s="2"/>
      <c r="G4" s="2"/>
      <c r="H4" s="2"/>
    </row>
    <row r="5">
      <c r="A5" s="2" t="s">
        <v>28</v>
      </c>
      <c r="B5" s="2" t="s">
        <v>29</v>
      </c>
      <c r="C5" s="7">
        <v>300</v>
      </c>
      <c r="D5" s="6">
        <f>'Resumen TEC'!$B$7</f>
        <v>15000</v>
      </c>
      <c r="E5" s="6">
        <f t="shared" si="0"/>
        <v>4500000</v>
      </c>
      <c r="F5" s="2"/>
      <c r="G5" s="2"/>
      <c r="H5" s="2"/>
    </row>
    <row r="6">
      <c r="A6" s="2" t="s">
        <v>30</v>
      </c>
      <c r="B6" s="2" t="s">
        <v>31</v>
      </c>
      <c r="C6" s="7">
        <v>300</v>
      </c>
      <c r="D6" s="6">
        <f>'Resumen TEC'!$B$7</f>
        <v>15000</v>
      </c>
      <c r="E6" s="6">
        <f t="shared" si="0"/>
        <v>4500000</v>
      </c>
      <c r="F6" s="2"/>
      <c r="G6" s="2"/>
      <c r="H6" s="2"/>
    </row>
    <row r="7">
      <c r="A7" s="9" t="s">
        <v>32</v>
      </c>
      <c r="B7" s="9"/>
      <c r="C7" s="13">
        <f>SUM(C4:C6)</f>
        <v>900</v>
      </c>
      <c r="D7" s="10"/>
      <c r="E7" s="10">
        <f>SUM(E4:E6)</f>
        <v>13500000</v>
      </c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</sheetData>
  <mergeCells count="1">
    <mergeCell ref="A1:E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34"/>
    <col customWidth="1" min="2" max="6" width="14"/>
  </cols>
  <sheetData>
    <row r="1">
      <c r="A1" s="11" t="s">
        <v>33</v>
      </c>
      <c r="B1" s="11"/>
      <c r="C1" s="11"/>
      <c r="D1" s="11"/>
      <c r="E1" s="11"/>
      <c r="F1" s="11"/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12" t="s">
        <v>34</v>
      </c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  <c r="G3" s="2"/>
      <c r="H3" s="2"/>
    </row>
    <row r="4">
      <c r="A4" s="2" t="s">
        <v>40</v>
      </c>
      <c r="B4" s="7">
        <v>35</v>
      </c>
      <c r="C4" s="7">
        <v>35</v>
      </c>
      <c r="D4" s="7">
        <v>20</v>
      </c>
      <c r="E4" s="7">
        <f t="shared" ref="E4:E9" si="1">SUM(B4:D4)</f>
        <v>90</v>
      </c>
      <c r="F4" s="14">
        <f t="shared" ref="F4:F9" si="2">E4/$E$12</f>
        <v>0.10000000000000001</v>
      </c>
      <c r="G4" s="2"/>
      <c r="H4" s="2"/>
    </row>
    <row r="5">
      <c r="A5" s="2" t="s">
        <v>41</v>
      </c>
      <c r="B5" s="7">
        <v>45</v>
      </c>
      <c r="C5" s="7">
        <v>40</v>
      </c>
      <c r="D5" s="7">
        <v>35</v>
      </c>
      <c r="E5" s="7">
        <f t="shared" si="1"/>
        <v>120</v>
      </c>
      <c r="F5" s="14">
        <f t="shared" si="2"/>
        <v>0.13333333333333333</v>
      </c>
      <c r="G5" s="2"/>
      <c r="H5" s="2"/>
    </row>
    <row r="6">
      <c r="A6" s="2" t="s">
        <v>42</v>
      </c>
      <c r="B6" s="7">
        <v>40</v>
      </c>
      <c r="C6" s="7">
        <v>20</v>
      </c>
      <c r="D6" s="7">
        <v>60</v>
      </c>
      <c r="E6" s="7">
        <f t="shared" si="1"/>
        <v>120</v>
      </c>
      <c r="F6" s="14">
        <f t="shared" si="2"/>
        <v>0.13333333333333333</v>
      </c>
      <c r="G6" s="2"/>
      <c r="H6" s="2"/>
    </row>
    <row r="7">
      <c r="A7" s="2" t="s">
        <v>43</v>
      </c>
      <c r="B7" s="7">
        <v>65</v>
      </c>
      <c r="C7" s="7">
        <v>45</v>
      </c>
      <c r="D7" s="7">
        <v>70</v>
      </c>
      <c r="E7" s="7">
        <f t="shared" si="1"/>
        <v>180</v>
      </c>
      <c r="F7" s="14">
        <f t="shared" si="2"/>
        <v>0.20000000000000001</v>
      </c>
      <c r="G7" s="2"/>
      <c r="H7" s="2"/>
    </row>
    <row r="8">
      <c r="A8" s="2" t="s">
        <v>44</v>
      </c>
      <c r="B8" s="7">
        <v>30</v>
      </c>
      <c r="C8" s="7">
        <v>60</v>
      </c>
      <c r="D8" s="7">
        <v>30</v>
      </c>
      <c r="E8" s="7">
        <f t="shared" si="1"/>
        <v>120</v>
      </c>
      <c r="F8" s="14">
        <f t="shared" si="2"/>
        <v>0.13333333333333333</v>
      </c>
      <c r="G8" s="2"/>
      <c r="H8" s="2"/>
    </row>
    <row r="9">
      <c r="A9" s="2" t="s">
        <v>45</v>
      </c>
      <c r="B9" s="7">
        <v>25</v>
      </c>
      <c r="C9" s="7">
        <v>30</v>
      </c>
      <c r="D9" s="7">
        <v>50</v>
      </c>
      <c r="E9" s="7">
        <f t="shared" si="1"/>
        <v>105</v>
      </c>
      <c r="F9" s="14">
        <f t="shared" si="2"/>
        <v>0.11666666666666667</v>
      </c>
      <c r="G9" s="2"/>
      <c r="H9" s="2"/>
    </row>
    <row r="10">
      <c r="A10" s="2" t="s">
        <v>46</v>
      </c>
      <c r="B10" s="7">
        <v>35</v>
      </c>
      <c r="C10" s="7">
        <v>45</v>
      </c>
      <c r="D10" s="7">
        <v>25</v>
      </c>
      <c r="E10" s="7">
        <f t="shared" ref="E10:E11" si="3">SUM(B10:D10)</f>
        <v>105</v>
      </c>
      <c r="F10" s="14">
        <f t="shared" ref="F10:F11" si="4">E10/$E$12</f>
        <v>0.11666666666666667</v>
      </c>
      <c r="G10" s="2"/>
      <c r="H10" s="2"/>
    </row>
    <row r="11">
      <c r="A11" s="2" t="s">
        <v>47</v>
      </c>
      <c r="B11" s="7">
        <v>25</v>
      </c>
      <c r="C11" s="7">
        <v>25</v>
      </c>
      <c r="D11" s="7">
        <v>10</v>
      </c>
      <c r="E11" s="7">
        <f t="shared" si="3"/>
        <v>60</v>
      </c>
      <c r="F11" s="14">
        <f t="shared" si="4"/>
        <v>0.066666666666666666</v>
      </c>
      <c r="G11" s="2"/>
      <c r="H11" s="2"/>
    </row>
    <row r="12">
      <c r="A12" s="9" t="s">
        <v>32</v>
      </c>
      <c r="B12" s="13">
        <f>SUM(B4:B11)</f>
        <v>300</v>
      </c>
      <c r="C12" s="13">
        <f>SUM(C4:C11)</f>
        <v>300</v>
      </c>
      <c r="D12" s="13">
        <f>SUM(D4:D11)</f>
        <v>300</v>
      </c>
      <c r="E12" s="13">
        <f>SUM(E4:E11)</f>
        <v>900</v>
      </c>
      <c r="F12" s="15">
        <f>SUM(F4:F11)</f>
        <v>1</v>
      </c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</sheetData>
  <mergeCells count="1">
    <mergeCell ref="A1:F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2" width="34"/>
    <col customWidth="1" min="3" max="3" width="18"/>
    <col customWidth="1" min="4" max="4" width="42"/>
  </cols>
  <sheetData>
    <row r="1">
      <c r="A1" s="11" t="s">
        <v>48</v>
      </c>
      <c r="B1" s="11"/>
      <c r="C1" s="11"/>
      <c r="D1" s="11"/>
      <c r="E1" s="2"/>
      <c r="F1" s="2"/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12" t="s">
        <v>49</v>
      </c>
      <c r="B3" s="12" t="s">
        <v>50</v>
      </c>
      <c r="C3" s="12" t="s">
        <v>51</v>
      </c>
      <c r="D3" s="12" t="s">
        <v>52</v>
      </c>
      <c r="E3" s="2"/>
      <c r="F3" s="2"/>
      <c r="G3" s="2"/>
      <c r="H3" s="2"/>
    </row>
    <row r="4">
      <c r="A4" s="2" t="s">
        <v>53</v>
      </c>
      <c r="B4" s="2" t="inlineStr">
        <is>
          <t>HH planificadas × tarifa referencial</t>
        </is>
      </c>
      <c r="C4" s="6">
        <f>'HH por Integrante'!E7</f>
        <v>13500000</v>
      </c>
      <c r="D4" s="2" t="s">
        <v>55</v>
      </c>
      <c r="E4" s="2"/>
      <c r="F4" s="2"/>
      <c r="G4" s="2"/>
      <c r="H4" s="2"/>
    </row>
    <row r="5">
      <c r="A5" s="2" t="s">
        <v>56</v>
      </c>
      <c r="B5" s="2" t="s">
        <v>57</v>
      </c>
      <c r="C5" s="6">
        <v>600000</v>
      </c>
      <c r="D5" s="2" t="s">
        <v>58</v>
      </c>
      <c r="E5" s="2"/>
      <c r="F5" s="2"/>
      <c r="G5" s="2"/>
      <c r="H5" s="2"/>
    </row>
    <row r="6">
      <c r="A6" s="2" t="s">
        <v>59</v>
      </c>
      <c r="B6" s="2" t="s">
        <v>57</v>
      </c>
      <c r="C6" s="6">
        <v>250000</v>
      </c>
      <c r="D6" s="2" t="s">
        <v>60</v>
      </c>
      <c r="E6" s="2"/>
      <c r="F6" s="2"/>
      <c r="G6" s="2"/>
      <c r="H6" s="2"/>
    </row>
    <row r="7">
      <c r="A7" s="2" t="s">
        <v>61</v>
      </c>
      <c r="B7" s="2" t="s">
        <v>57</v>
      </c>
      <c r="C7" s="6">
        <v>350000</v>
      </c>
      <c r="D7" s="2" t="s">
        <v>62</v>
      </c>
      <c r="E7" s="2"/>
      <c r="F7" s="2"/>
      <c r="G7" s="2"/>
      <c r="H7" s="2"/>
    </row>
    <row r="8">
      <c r="A8" s="16" t="s">
        <v>63</v>
      </c>
      <c r="B8" s="2" t="s">
        <v>64</v>
      </c>
      <c r="C8" s="6">
        <v>0</v>
      </c>
      <c r="D8" s="16" t="s">
        <v>65</v>
      </c>
      <c r="E8" s="2"/>
      <c r="F8" s="2"/>
      <c r="G8" s="2"/>
      <c r="H8" s="2"/>
    </row>
    <row r="9">
      <c r="A9" s="17" t="s">
        <v>7</v>
      </c>
      <c r="B9" s="17"/>
      <c r="C9" s="18">
        <f>SUM(C4:C8)</f>
        <v>14700000</v>
      </c>
      <c r="D9" s="17" t="s">
        <v>66</v>
      </c>
      <c r="E9" s="2"/>
      <c r="F9" s="2"/>
      <c r="G9" s="2"/>
      <c r="H9" s="2"/>
    </row>
    <row r="10">
      <c r="A10" s="17" t="s">
        <v>10</v>
      </c>
      <c r="B10" s="17" t="s">
        <v>67</v>
      </c>
      <c r="C10" s="18">
        <f>C11-C9</f>
        <v>1300000</v>
      </c>
      <c r="D10" s="17" t="s">
        <v>68</v>
      </c>
      <c r="E10" s="2"/>
      <c r="F10" s="2"/>
      <c r="G10" s="2"/>
      <c r="H10" s="2"/>
    </row>
    <row r="11">
      <c r="A11" s="3" t="s">
        <v>69</v>
      </c>
      <c r="B11" s="3"/>
      <c r="C11" s="19">
        <v>16000000</v>
      </c>
      <c r="D11" s="3" t="s">
        <v>70</v>
      </c>
      <c r="E11" s="2"/>
      <c r="F11" s="2"/>
      <c r="G11" s="2"/>
      <c r="H11" s="2"/>
    </row>
    <row r="12">
      <c r="A12" s="20" t="s">
        <v>14</v>
      </c>
      <c r="B12" s="20" t="s">
        <v>71</v>
      </c>
      <c r="C12" s="21">
        <f>C11*'Resumen TEC'!$E$7</f>
        <v>1600000</v>
      </c>
      <c r="D12" s="20" t="s">
        <v>72</v>
      </c>
      <c r="E12" s="2"/>
      <c r="F12" s="2"/>
      <c r="G12" s="2"/>
      <c r="H12" s="2"/>
    </row>
    <row r="13">
      <c r="A13" s="9" t="s">
        <v>73</v>
      </c>
      <c r="B13" s="9" t="s">
        <v>74</v>
      </c>
      <c r="C13" s="10">
        <f>C11+C12</f>
        <v>17600000</v>
      </c>
      <c r="D13" s="9" t="s">
        <v>75</v>
      </c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2" t="s">
        <v>76</v>
      </c>
      <c r="B15" s="22"/>
      <c r="C15" s="22"/>
      <c r="D15" s="2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134" t="inlineStr">
        <is>
          <t>Seguimiento y proyección de costos</t>
        </is>
      </c>
      <c r="B17" s="135"/>
      <c r="C17" s="136"/>
      <c r="D17" s="137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 ht="44" customHeight="1">
      <c r="A19" s="138" t="inlineStr">
        <is>
          <t>Desarrollo registrado</t>
        </is>
      </c>
      <c r="B19" s="139" t="inlineStr">
        <is>
          <t>HH registradas × tarifa</t>
        </is>
      </c>
      <c r="C19" s="158">
        <f>'Seguimiento por Sprint'!G11</f>
        <v>8017500</v>
      </c>
      <c r="D19" s="141" t="inlineStr">
        <is>
          <t>Valorización acumulada de los sprints con horas registradas.</t>
        </is>
      </c>
      <c r="E19" s="2"/>
      <c r="F19" s="2"/>
      <c r="G19" s="2"/>
      <c r="H19" s="2"/>
    </row>
    <row r="20" ht="44" customHeight="1">
      <c r="A20" s="142" t="inlineStr">
        <is>
          <t>Desarrollo pendiente (plan)</t>
        </is>
      </c>
      <c r="B20" s="143" t="inlineStr">
        <is>
          <t>HH sin registro × tarifa</t>
        </is>
      </c>
      <c r="C20" s="159">
        <f>'Resumen TEC'!B19*'Resumen TEC'!$B$7</f>
        <v>4500000</v>
      </c>
      <c r="D20" s="145" t="inlineStr">
        <is>
          <t>Esfuerzo planificado de los sprints pendientes de cierre.</t>
        </is>
      </c>
      <c r="E20" s="2"/>
      <c r="F20" s="2"/>
      <c r="G20" s="2"/>
      <c r="H20" s="2"/>
    </row>
    <row r="21" ht="44" customHeight="1">
      <c r="A21" s="146" t="inlineStr">
        <is>
          <t>Otros costos estimados</t>
        </is>
      </c>
      <c r="B21" s="147" t="inlineStr">
        <is>
          <t>Infraestructura, servicios y equipos</t>
        </is>
      </c>
      <c r="C21" s="160">
        <f>SUM(C5:C8)</f>
        <v>1200000</v>
      </c>
      <c r="D21" s="149" t="inlineStr">
        <is>
          <t>Estimaciones no laborales del presupuesto.</t>
        </is>
      </c>
      <c r="E21" s="2"/>
      <c r="F21" s="2"/>
      <c r="G21" s="2"/>
      <c r="H21" s="2"/>
    </row>
    <row r="22" ht="44" customHeight="1">
      <c r="A22" s="163" t="inlineStr">
        <is>
          <t>COSTO TOTAL PROYECTADO</t>
        </is>
      </c>
      <c r="B22" s="164"/>
      <c r="C22" s="165">
        <f>SUM(C19:C21)</f>
        <v>13717500</v>
      </c>
      <c r="D22" s="166" t="inlineStr">
        <is>
          <t>Desarrollo registrado, trabajo pendiente y otros costos estimados.</t>
        </is>
      </c>
      <c r="E22" s="2"/>
      <c r="F22" s="2"/>
      <c r="G22" s="2"/>
      <c r="H22" s="2"/>
    </row>
    <row r="23" ht="44" customHeight="1">
      <c r="A23" s="154" t="inlineStr">
        <is>
          <t>Holgura del presupuesto base</t>
        </is>
      </c>
      <c r="B23" s="155"/>
      <c r="C23" s="162">
        <f>C11-C22</f>
        <v>2282500</v>
      </c>
      <c r="D23" s="157" t="inlineStr">
        <is>
          <t>Presupuesto base menos costo total proyectado.</t>
        </is>
      </c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</sheetData>
  <mergeCells count="3">
    <mergeCell ref="A1:D1"/>
    <mergeCell ref="A15:D15"/>
    <mergeCell ref="A17:D1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4"/>
    <col customWidth="1" min="2" max="2" width="36"/>
    <col customWidth="1" min="3" max="3" width="16"/>
    <col customWidth="1" min="4" max="4" width="14"/>
    <col customWidth="1" min="5" max="5" width="16"/>
    <col customWidth="1" min="6" max="7" width="18"/>
    <col customWidth="1" min="8" max="8" width="16"/>
  </cols>
  <sheetData>
    <row r="1">
      <c r="A1" s="11" t="inlineStr">
        <is>
          <t>Seguimiento de tiempo, esfuerzo y costo por sprint</t>
        </is>
      </c>
      <c r="B1" s="11"/>
      <c r="C1" s="11"/>
      <c r="D1" s="11"/>
      <c r="E1" s="11"/>
      <c r="F1" s="11"/>
      <c r="G1" s="11"/>
      <c r="H1" s="11"/>
    </row>
    <row r="2">
      <c r="A2" s="2"/>
      <c r="B2" s="2"/>
      <c r="C2" s="2"/>
      <c r="D2" s="2"/>
      <c r="E2" s="2"/>
      <c r="F2" s="2"/>
      <c r="G2" s="2"/>
      <c r="H2" s="2"/>
    </row>
    <row r="3" ht="34" customHeight="1">
      <c r="A3" s="12" t="s">
        <v>78</v>
      </c>
      <c r="B3" s="12" t="s">
        <v>79</v>
      </c>
      <c r="C3" s="12" t="s">
        <v>11</v>
      </c>
      <c r="D3" s="12" t="inlineStr">
        <is>
          <t>HH registradas</t>
        </is>
      </c>
      <c r="E3" s="12" t="s">
        <v>81</v>
      </c>
      <c r="F3" s="12" t="s">
        <v>82</v>
      </c>
      <c r="G3" s="12" t="inlineStr">
        <is>
          <t>Costo HH registrado</t>
        </is>
      </c>
      <c r="H3" s="12" t="s">
        <v>84</v>
      </c>
    </row>
    <row r="4" ht="54" customHeight="1">
      <c r="A4" s="2" t="s">
        <v>85</v>
      </c>
      <c r="B4" s="2" t="inlineStr">
        <is>
          <t>13/08–26/08: Definición y fundamentación del proyecto.</t>
        </is>
      </c>
      <c r="C4" s="7">
        <v>100</v>
      </c>
      <c r="D4" s="28">
        <v>32</v>
      </c>
      <c r="E4" s="29">
        <f>IF(ISNUMBER(D4),D4-C4,"")</f>
        <v>-68</v>
      </c>
      <c r="F4" s="6">
        <f>C4*'Resumen TEC'!$B$7</f>
        <v>1500000</v>
      </c>
      <c r="G4" s="6">
        <f>IF(ISNUMBER(D4),D4*'Resumen TEC'!$B$7,"")</f>
        <v>480000</v>
      </c>
      <c r="H4" s="16" t="s">
        <v>87</v>
      </c>
    </row>
    <row r="5" ht="54" customHeight="1">
      <c r="A5" s="2" t="s">
        <v>88</v>
      </c>
      <c r="B5" s="2" t="inlineStr">
        <is>
          <t>27/08–09/09: Requerimientos, backlog, arquitectura y diseño.</t>
        </is>
      </c>
      <c r="C5" s="7">
        <v>100</v>
      </c>
      <c r="D5" s="30">
        <v>90</v>
      </c>
      <c r="E5" s="31">
        <f>IF(ISNUMBER(D5),D5-C5,"")</f>
        <v>-10</v>
      </c>
      <c r="F5" s="6">
        <f>C5*'Resumen TEC'!$B$7</f>
        <v>1500000</v>
      </c>
      <c r="G5" s="6">
        <f>IF(ISNUMBER(D5),D5*'Resumen TEC'!$B$7,"")</f>
        <v>1350000</v>
      </c>
      <c r="H5" s="2" t="s">
        <v>87</v>
      </c>
    </row>
    <row r="6" ht="54" customHeight="1">
      <c r="A6" s="2" t="s">
        <v>90</v>
      </c>
      <c r="B6" s="2" t="inlineStr">
        <is>
          <t>10/09–14/09: Repositorio, Docker, PostgreSQL y arquitectura inicial.</t>
        </is>
      </c>
      <c r="C6" s="7">
        <v>100</v>
      </c>
      <c r="D6" s="32">
        <v>56</v>
      </c>
      <c r="E6" s="33">
        <f>IF(ISNUMBER(D6),D6-C6,"")</f>
        <v>-44</v>
      </c>
      <c r="F6" s="6">
        <f>C6*'Resumen TEC'!$B$7</f>
        <v>1500000</v>
      </c>
      <c r="G6" s="6">
        <f>IF(ISNUMBER(D6),D6*'Resumen TEC'!$B$7,"")</f>
        <v>840000</v>
      </c>
      <c r="H6" s="16" t="s">
        <v>87</v>
      </c>
    </row>
    <row r="7" ht="54" customHeight="1">
      <c r="A7" s="2" t="s">
        <v>92</v>
      </c>
      <c r="B7" s="2" t="inlineStr">
        <is>
          <t>15/09–28/09: Autenticación, acceso e integración del entorno.</t>
        </is>
      </c>
      <c r="C7" s="7">
        <v>100</v>
      </c>
      <c r="D7" s="34">
        <v>51</v>
      </c>
      <c r="E7" s="35">
        <f>IF(ISNUMBER(D7),D7-C7,"")</f>
        <v>-49</v>
      </c>
      <c r="F7" s="6">
        <f>C7*'Resumen TEC'!$B$7</f>
        <v>1500000</v>
      </c>
      <c r="G7" s="6">
        <f>IF(ISNUMBER(D7),D7*'Resumen TEC'!$B$7,"")</f>
        <v>765000</v>
      </c>
      <c r="H7" s="16" t="s">
        <v>94</v>
      </c>
    </row>
    <row r="8" ht="54" customHeight="1">
      <c r="A8" s="2" t="s">
        <v>95</v>
      </c>
      <c r="B8" s="16" t="inlineStr">
        <is>
          <t>29/09–18/10: Activos, asignaciones, entregas, devoluciones y tickets iniciales.</t>
        </is>
      </c>
      <c r="C8" s="7">
        <v>100</v>
      </c>
      <c r="D8" s="36">
        <v>230</v>
      </c>
      <c r="E8" s="37">
        <f>IF(ISNUMBER(D8),D8-C8,"")</f>
        <v>130</v>
      </c>
      <c r="F8" s="6">
        <f>C8*'Resumen TEC'!$B$7</f>
        <v>1500000</v>
      </c>
      <c r="G8" s="6">
        <f>IF(ISNUMBER(D8),D8*'Resumen TEC'!$B$7,"")</f>
        <v>3450000</v>
      </c>
      <c r="H8" s="2" t="inlineStr">
        <is>
          <t>Completado</t>
        </is>
      </c>
    </row>
    <row r="9" ht="54" customHeight="1">
      <c r="A9" s="2" t="s">
        <v>99</v>
      </c>
      <c r="B9" s="2" t="inlineStr">
        <is>
          <t>19/10–26/10: Escritorio, tickets y OT, auditoría, correo, avisos, CSAT y catálogos.</t>
        </is>
      </c>
      <c r="C9" s="7">
        <v>100</v>
      </c>
      <c r="D9" s="38">
        <v>75.5</v>
      </c>
      <c r="E9" s="39">
        <f>IF(ISNUMBER(D9),D9-C9,"")</f>
        <v>-24.5</v>
      </c>
      <c r="F9" s="6">
        <f>C9*'Resumen TEC'!$B$7</f>
        <v>1500000</v>
      </c>
      <c r="G9" s="6">
        <f>IF(ISNUMBER(D9),D9*'Resumen TEC'!$B$7,"")</f>
        <v>1132500</v>
      </c>
      <c r="H9" s="2" t="inlineStr">
        <is>
          <t>Completado</t>
        </is>
      </c>
    </row>
    <row r="10" ht="54" customHeight="1">
      <c r="A10" s="2" t="s">
        <v>102</v>
      </c>
      <c r="B10" s="2" t="inlineStr">
        <is>
          <t>27/10–05/11: Reparación, repuestos, QR, reportes, seguridad, QA y cierre.</t>
        </is>
      </c>
      <c r="C10" s="7">
        <v>300</v>
      </c>
      <c r="D10" s="40"/>
      <c r="E10" s="41" t="str">
        <f>IF(ISNUMBER(D10),D10-C10,"")</f>
        <v/>
      </c>
      <c r="F10" s="6">
        <f>C10*'Resumen TEC'!$B$7</f>
        <v>4500000</v>
      </c>
      <c r="G10" s="6" t="str">
        <f>IF(ISNUMBER(D10),D10*'Resumen TEC'!$B$7,"")</f>
        <v/>
      </c>
      <c r="H10" s="2" t="inlineStr">
        <is>
          <t>En curso</t>
        </is>
      </c>
    </row>
    <row r="11" ht="28" customHeight="1">
      <c r="A11" s="44" t="inlineStr">
        <is>
          <t>TOTAL</t>
        </is>
      </c>
      <c r="B11" s="45"/>
      <c r="C11" s="46">
        <f>SUM(C4:C10)</f>
        <v>900</v>
      </c>
      <c r="D11" s="47">
        <f>IF(COUNT(D4:D10)=0,"",SUM(D4:D10))</f>
        <v>534.5</v>
      </c>
      <c r="E11" s="48">
        <f>IF(COUNT(D4:D10)=0,"",SUM(E4:E10))</f>
        <v>-65.5</v>
      </c>
      <c r="F11" s="49">
        <f>SUM(F4:F10)</f>
        <v>13500000</v>
      </c>
      <c r="G11" s="50">
        <f>IF(COUNT(G4:G10)=0,"",SUM(G4:G10))</f>
        <v>8017500</v>
      </c>
      <c r="H11" s="51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 ht="32" customHeight="1">
      <c r="A14" s="52" t="inlineStr">
        <is>
          <t>Las HH registradas corresponden a los registros de actividades de cada sprint y son estimaciones de dedicación. Se incorporan al seguimiento al cerrar el sprint.</t>
        </is>
      </c>
      <c r="B14" s="53"/>
      <c r="C14" s="54"/>
      <c r="D14" s="55"/>
      <c r="E14" s="56"/>
      <c r="F14" s="57"/>
      <c r="G14" s="58"/>
      <c r="H14" s="59"/>
    </row>
    <row r="15" ht="32" customHeight="1">
      <c r="A15" s="60" t="inlineStr">
        <is>
          <t>La desviación acumulada compara únicamente los sprints con horas registradas. El Sprint 7 concentra las actividades pendientes de desarrollo, integración, pruebas y cierre.</t>
        </is>
      </c>
      <c r="B15" s="61"/>
      <c r="C15" s="62"/>
      <c r="D15" s="63"/>
      <c r="E15" s="64"/>
      <c r="F15" s="65"/>
      <c r="G15" s="66"/>
      <c r="H15" s="67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4"/>
      <c r="B18" s="24"/>
      <c r="C18" s="24"/>
      <c r="D18" s="2"/>
      <c r="E18" s="2"/>
      <c r="F18" s="2"/>
      <c r="G18" s="2"/>
      <c r="H18" s="2"/>
    </row>
    <row r="19">
      <c r="A19" s="25"/>
      <c r="B19" s="25"/>
      <c r="C19" s="25"/>
      <c r="D19" s="2"/>
      <c r="E19" s="2"/>
      <c r="F19" s="2"/>
      <c r="G19" s="2"/>
      <c r="H19" s="2"/>
    </row>
    <row r="20">
      <c r="A20" s="25"/>
      <c r="B20" s="25"/>
      <c r="C20" s="25"/>
      <c r="D20" s="2"/>
      <c r="E20" s="2"/>
      <c r="F20" s="2"/>
      <c r="G20" s="2"/>
      <c r="H20" s="2"/>
    </row>
    <row r="21">
      <c r="A21" s="25"/>
      <c r="B21" s="25"/>
      <c r="C21" s="25"/>
      <c r="D21" s="2"/>
      <c r="E21" s="2"/>
      <c r="F21" s="2"/>
      <c r="G21" s="2"/>
      <c r="H21" s="2"/>
    </row>
    <row r="22">
      <c r="A22" s="25"/>
      <c r="B22" s="25"/>
      <c r="C22" s="26"/>
      <c r="D22" s="2"/>
      <c r="E22" s="2"/>
      <c r="F22" s="2"/>
      <c r="G22" s="2"/>
      <c r="H22" s="2"/>
    </row>
    <row r="23">
      <c r="A23" s="25"/>
      <c r="B23" s="25"/>
      <c r="C23" s="26"/>
      <c r="D23" s="2"/>
      <c r="E23" s="2"/>
      <c r="F23" s="2"/>
      <c r="G23" s="2"/>
      <c r="H23" s="2"/>
    </row>
    <row r="24">
      <c r="A24" s="25"/>
      <c r="B24" s="25"/>
      <c r="C24" s="25"/>
      <c r="D24" s="2"/>
      <c r="E24" s="2"/>
      <c r="F24" s="2"/>
      <c r="G24" s="2"/>
      <c r="H24" s="2"/>
    </row>
    <row r="25">
      <c r="A25" s="25"/>
      <c r="B25" s="25"/>
      <c r="C25" s="25"/>
      <c r="D25" s="2"/>
      <c r="E25" s="2"/>
      <c r="F25" s="2"/>
      <c r="G25" s="2"/>
      <c r="H25" s="2"/>
    </row>
    <row r="26">
      <c r="A26" s="25"/>
      <c r="B26" s="25"/>
      <c r="C26" s="25"/>
      <c r="D26" s="2"/>
      <c r="E26" s="2"/>
      <c r="F26" s="2"/>
      <c r="G26" s="2"/>
      <c r="H26" s="2"/>
    </row>
    <row r="27">
      <c r="A27" s="25"/>
      <c r="B27" s="25"/>
      <c r="C27" s="25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</sheetData>
  <mergeCells count="3">
    <mergeCell ref="A1:H1"/>
    <mergeCell ref="A14:H14"/>
    <mergeCell ref="A15:H1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295A26FD-4A17-4E30-A2C8-8950C99ECB40}" type="list" allowBlank="0" errorStyle="stop" imeMode="noControl" operator="between" showDropDown="0" showErrorMessage="0" showInputMessage="0">
          <x14:formula1>
            <xm:f>"No iniciado,En curso,Completado,Bloqueado"</xm:f>
          </x14:formula1>
          <xm:sqref>H4:H10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8"/>
    <col customWidth="1" min="2" max="2" width="34"/>
    <col customWidth="1" min="3" max="3" width="24"/>
    <col customWidth="1" min="4" max="4" width="40"/>
  </cols>
  <sheetData>
    <row r="1" ht="18.75">
      <c r="A1" s="11" t="s">
        <v>108</v>
      </c>
      <c r="B1" s="11"/>
      <c r="C1" s="11"/>
      <c r="D1" s="11"/>
      <c r="E1" s="2"/>
      <c r="F1" s="2"/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4" t="s">
        <v>109</v>
      </c>
      <c r="B3" s="4" t="s">
        <v>110</v>
      </c>
      <c r="C3" s="4" t="s">
        <v>111</v>
      </c>
      <c r="D3" s="4" t="s">
        <v>52</v>
      </c>
      <c r="E3" s="2"/>
      <c r="F3" s="2"/>
      <c r="G3" s="2"/>
      <c r="H3" s="2"/>
    </row>
    <row r="4" ht="44" customHeight="1">
      <c r="A4" s="27" t="inlineStr">
        <is>
          <t>Periodo del proyecto</t>
        </is>
      </c>
      <c r="B4" s="2" t="str">
        <f>B18&amp;" sprints / "&amp;TEXT(B15,"dd/mm/yyyy")&amp;" al "&amp;TEXT(B16,"dd/mm/yyyy")</f>
        <v>7 sprints / 13/08/2026 al 05/11/2026</v>
      </c>
      <c r="C4" s="2" t="s">
        <v>113</v>
      </c>
      <c r="D4" s="2" t="inlineStr">
        <is>
          <t>Planificación vigente de siete sprints.</t>
        </is>
      </c>
      <c r="E4" s="2"/>
      <c r="F4" s="2"/>
      <c r="G4" s="2"/>
      <c r="H4" s="2"/>
    </row>
    <row r="5">
      <c r="A5" s="27" t="s">
        <v>8</v>
      </c>
      <c r="B5" s="2" t="s">
        <v>115</v>
      </c>
      <c r="C5" s="2" t="s">
        <v>113</v>
      </c>
      <c r="D5" s="2" t="s">
        <v>116</v>
      </c>
      <c r="E5" s="2"/>
      <c r="F5" s="2"/>
      <c r="G5" s="2"/>
      <c r="H5" s="2"/>
    </row>
    <row r="6">
      <c r="A6" s="27" t="s">
        <v>117</v>
      </c>
      <c r="B6" s="2" t="s">
        <v>118</v>
      </c>
      <c r="C6" s="2" t="s">
        <v>113</v>
      </c>
      <c r="D6" s="2" t="s">
        <v>119</v>
      </c>
      <c r="E6" s="2"/>
      <c r="F6" s="2"/>
      <c r="G6" s="2"/>
      <c r="H6" s="2"/>
    </row>
    <row r="7">
      <c r="A7" s="27" t="inlineStr">
        <is>
          <t>Dedicación media planificada</t>
        </is>
      </c>
      <c r="B7" s="167">
        <f>'HH por Integrante'!C4/B17</f>
        <v>25</v>
      </c>
      <c r="C7" s="2" t="s">
        <v>122</v>
      </c>
      <c r="D7" s="2" t="inlineStr">
        <is>
          <t>HH por integrante / semanas del periodo.</t>
        </is>
      </c>
      <c r="E7" s="2"/>
      <c r="F7" s="2"/>
      <c r="G7" s="2"/>
      <c r="H7" s="2"/>
    </row>
    <row r="8">
      <c r="A8" s="27" t="s">
        <v>13</v>
      </c>
      <c r="B8" s="2" t="s">
        <v>124</v>
      </c>
      <c r="C8" s="2" t="s">
        <v>125</v>
      </c>
      <c r="D8" s="2" t="s">
        <v>126</v>
      </c>
      <c r="E8" s="2"/>
      <c r="F8" s="2"/>
      <c r="G8" s="2"/>
      <c r="H8" s="2"/>
    </row>
    <row r="9">
      <c r="A9" s="27" t="s">
        <v>12</v>
      </c>
      <c r="B9" s="2" t="s">
        <v>127</v>
      </c>
      <c r="C9" s="2" t="s">
        <v>113</v>
      </c>
      <c r="D9" s="2" t="s">
        <v>128</v>
      </c>
      <c r="E9" s="2"/>
      <c r="F9" s="2"/>
      <c r="G9" s="2"/>
      <c r="H9" s="2"/>
    </row>
    <row r="10">
      <c r="A10" s="27" t="s">
        <v>129</v>
      </c>
      <c r="B10" s="2" t="s">
        <v>130</v>
      </c>
      <c r="C10" s="2" t="s">
        <v>113</v>
      </c>
      <c r="D10" s="2" t="s">
        <v>131</v>
      </c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 ht="39.5" customHeight="1">
      <c r="A12" s="22" t="s">
        <v>132</v>
      </c>
      <c r="B12" s="22"/>
      <c r="C12" s="22"/>
      <c r="D12" s="22"/>
      <c r="E12" s="2"/>
      <c r="F12" s="2"/>
      <c r="G12" s="2"/>
      <c r="H12" s="2"/>
    </row>
    <row r="13">
      <c r="A13" s="16" t="s">
        <v>133</v>
      </c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 ht="32" customHeight="1">
      <c r="A15" s="168" t="inlineStr">
        <is>
          <t>Inicio del periodo</t>
        </is>
      </c>
      <c r="B15" s="192">
        <v>46247.0</v>
      </c>
      <c r="C15" s="170" t="inlineStr">
        <is>
          <t>Fecha</t>
        </is>
      </c>
      <c r="D15" s="171"/>
      <c r="E15" s="2"/>
      <c r="F15" s="2"/>
      <c r="G15" s="2"/>
      <c r="H15" s="2"/>
    </row>
    <row r="16" ht="32" customHeight="1">
      <c r="A16" s="172" t="inlineStr">
        <is>
          <t>Cierre del periodo</t>
        </is>
      </c>
      <c r="B16" s="193">
        <v>46331.0</v>
      </c>
      <c r="C16" s="174" t="inlineStr">
        <is>
          <t>Fecha</t>
        </is>
      </c>
      <c r="D16" s="175"/>
      <c r="E16" s="2"/>
      <c r="F16" s="2"/>
      <c r="G16" s="2"/>
      <c r="H16" s="2"/>
    </row>
    <row r="17" ht="32" customHeight="1">
      <c r="A17" s="176" t="inlineStr">
        <is>
          <t>Duración en semanas</t>
        </is>
      </c>
      <c r="B17" s="194">
        <f>(B16-B15)/7</f>
        <v>12</v>
      </c>
      <c r="C17" s="178" t="inlineStr">
        <is>
          <t>Derivado</t>
        </is>
      </c>
      <c r="D17" s="179"/>
      <c r="E17" s="2"/>
      <c r="F17" s="2"/>
      <c r="G17" s="2"/>
      <c r="H17" s="2"/>
    </row>
    <row r="18" ht="32" customHeight="1">
      <c r="A18" s="180" t="inlineStr">
        <is>
          <t>Número de sprints</t>
        </is>
      </c>
      <c r="B18" s="195">
        <v>7</v>
      </c>
      <c r="C18" s="182" t="inlineStr">
        <is>
          <t>Planificado</t>
        </is>
      </c>
      <c r="D18" s="183" t="inlineStr">
        <is>
          <t>Las actividades pendientes se concentran en el Sprint 7.</t>
        </is>
      </c>
      <c r="E18" s="2"/>
      <c r="F18" s="2"/>
      <c r="G18" s="2"/>
      <c r="H18" s="2"/>
    </row>
    <row r="19" ht="32" customHeight="1">
      <c r="A19" s="184"/>
      <c r="B19" s="185"/>
      <c r="C19" s="186"/>
      <c r="D19" s="187"/>
      <c r="E19" s="2"/>
      <c r="F19" s="2"/>
      <c r="G19" s="2"/>
      <c r="H19" s="2"/>
    </row>
    <row r="20" ht="44" customHeight="1">
      <c r="A20" s="188" t="inlineStr">
        <is>
          <t>Criterio de seguimiento</t>
        </is>
      </c>
      <c r="B20" s="189" t="inlineStr">
        <is>
          <t>HH estimadas de dedicación según los registros de actividades de cada sprint.</t>
        </is>
      </c>
      <c r="C20" s="190" t="inlineStr">
        <is>
          <t>Registro</t>
        </is>
      </c>
      <c r="D20" s="191" t="inlineStr">
        <is>
          <t>El costo de HH es una valorización referencial del esfuerzo.</t>
        </is>
      </c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</sheetData>
  <mergeCells count="3">
    <mergeCell ref="A1:D1"/>
    <mergeCell ref="A12:D12"/>
    <mergeCell ref="A13:D1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